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ummary" sheetId="2" state="visible" r:id="rId4"/>
  </sheets>
  <definedNames>
    <definedName function="false" hidden="true" localSheetId="0" name="_xlnm._FilterDatabase" vbProcedure="false">Sheet1!$A$1:$S$45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<sst xmlns="http://schemas.openxmlformats.org/spreadsheetml/2006/main" count="441" uniqueCount="269">
  <si>
    <t xml:space="preserve">No.</t>
  </si>
  <si>
    <t xml:space="preserve">Student ID</t>
  </si>
  <si>
    <t xml:space="preserve">Full Name</t>
  </si>
  <si>
    <t xml:space="preserve">Laboratory 1 Github Link</t>
  </si>
  <si>
    <t xml:space="preserve">Repository Status</t>
  </si>
  <si>
    <t xml:space="preserve">Submission Status</t>
  </si>
  <si>
    <t xml:space="preserve">Actual Repository Name</t>
  </si>
  <si>
    <t xml:space="preserve">Files Checked</t>
  </si>
  <si>
    <t xml:space="preserve">Git Workflow Evidence</t>
  </si>
  <si>
    <t xml:space="preserve">Input-Process-Output Analysis (15)</t>
  </si>
  <si>
    <t xml:space="preserve">Algorithm Correctness and Clarity (20)</t>
  </si>
  <si>
    <t xml:space="preserve">Pseudocode Correctness and Readability (20)</t>
  </si>
  <si>
    <t xml:space="preserve">Flowchart Correctness and Symbol Usage (25)</t>
  </si>
  <si>
    <t xml:space="preserve">Git Commit Evidence and File Organization (10)</t>
  </si>
  <si>
    <t xml:space="preserve">Completeness, Neatness, and README Reflection (10)</t>
  </si>
  <si>
    <t xml:space="preserve">Total Score (100)</t>
  </si>
  <si>
    <t xml:space="preserve">Grade</t>
  </si>
  <si>
    <t xml:space="preserve">Comments</t>
  </si>
  <si>
    <t xml:space="preserve">Manual Review Required</t>
  </si>
  <si>
    <t xml:space="preserve">ABARQUEZ, XANDER  B.</t>
  </si>
  <si>
    <t xml:space="preserve">https://github.com/rdnx09/CPP102-Week2-Abarquez</t>
  </si>
  <si>
    <t xml:space="preserve">Accessible</t>
  </si>
  <si>
    <t xml:space="preserve">Submitted</t>
  </si>
  <si>
    <t xml:space="preserve">rdnx09/CPP102-Week2-Abarquez</t>
  </si>
  <si>
    <t xml:space="preserve">README.md, algorithm.txt, pseudocode.txt, flowchart.md</t>
  </si>
  <si>
    <t xml:space="preserve">100% local git (1/1 commits)</t>
  </si>
  <si>
    <t xml:space="preserve">All three activities (sum, average of 3 grades, even/odd) are correct and consistent across algorithm, pseudocode, and flowchart. Neither the GitHub account nor any commit in this repository is attributed to the student's name; authorship could not be verified. Manual review recommended. Git: all 1 commit(s) were made via local git (VS Code/terminal) and pushed, as required.</t>
  </si>
  <si>
    <t xml:space="preserve">Yes</t>
  </si>
  <si>
    <t xml:space="preserve">ABQUINA, BRETTALESON  B.</t>
  </si>
  <si>
    <t xml:space="preserve">https://github.com/abquinabrettaleson-rgb/cpp102-week2-abquina</t>
  </si>
  <si>
    <t xml:space="preserve">abquinabrettaleson-rgb/cpp102-week2-abquina</t>
  </si>
  <si>
    <t xml:space="preserve">README.md, algorithm.txt, pseudocode.txt, ACTIVITY2_WEEK2_flowchart.md, flowchart</t>
  </si>
  <si>
    <t xml:space="preserve">100% GitHub web interface (7/7 commits)</t>
  </si>
  <si>
    <t xml:space="preserve">Files are scattered under non-standard names (abquina.md, brett_week2.md) rather than flowchart1/2/3. Pseudocode's first entry is a grade pass/fail check that does not correspond to any of the three stated algorithm activities (add numbers, positive/negative, average of 3 grades), and no pseudocode or flowchart exists for the 'average of 3 grades' activity. AI-generated leftover text ('Here's a shorter version:') left in the README reflection. Git: all 7 commit(s) were made directly on the GitHub website (committer = GitHub), not via local git as the lesson requires. The README reflection is shorter than the required 2 sentences.</t>
  </si>
  <si>
    <t xml:space="preserve">No</t>
  </si>
  <si>
    <t xml:space="preserve">ALVIAR, LORENZO  E.</t>
  </si>
  <si>
    <t xml:space="preserve">https://github.com/Alviar6969/cpp102-week2-alviar.git</t>
  </si>
  <si>
    <t xml:space="preserve">Incomplete</t>
  </si>
  <si>
    <t xml:space="preserve">Alviar6969/cpp102-week2-alviar</t>
  </si>
  <si>
    <t xml:space="preserve">cpp102-week2-alviar/Algorithm.txt, cpp102-week2-alviar/pseudocode.txt, cpp102-week2-alviar/flowchart1.png, cpp102-week2-alviar/flowchart2.png, cpp102-week2-alviar/flowchart3.png</t>
  </si>
  <si>
    <t xml:space="preserve">100% GitHub web interface (1/1 commits)</t>
  </si>
  <si>
    <t xml:space="preserve">All files are nested inside an extra 'cpp102-week2-alviar/' subfolder instead of the repository root. Algorithm.txt Activity 1 mislabels the sum operation as 'Compute average' (pseudocode correctly calls it sum). Flowcharts are PNG images; content could not be verified beyond file presence. README is misnamed 'READ.md' so it will not display as the repository's README on GitHub. Git: all 1 commit(s) were made directly on the GitHub website (committer = GitHub), not via local git as the lesson requires. No README.md is present, so name/section/reflection could not be confirmed.</t>
  </si>
  <si>
    <t xml:space="preserve">ALVIAR, MARK JOVEN  C.</t>
  </si>
  <si>
    <t xml:space="preserve">https://github.com/alviarmarkjoven-bit/Cpp102-Week2-Alviar</t>
  </si>
  <si>
    <t xml:space="preserve">alviarmarkjoven-bit/Cpp102-Week2-Alviar</t>
  </si>
  <si>
    <t xml:space="preserve">README.md, Algorithim.txt, Pseudocode.txt, ACTIVITY2_WEEK2_flowchart.md, ACTIVITY2_WEEK2_flowchart2.md, ACTIVITY2_WEEK2_flowchart3.md</t>
  </si>
  <si>
    <t xml:space="preserve">100% GitHub web interface (6/6 commits)</t>
  </si>
  <si>
    <t xml:space="preserve">Five example problems are attempted (more than the required three) but coverage is inconsistent: pseudocode is cut off and missing the fifth example (even/odd), and flowchart3 is a duplicate of flowchart2 (both show the pass/fail check) rather than covering a distinct activity. Git: all 6 commit(s) were made directly on the GitHub website (committer = GitHub), not via local git as the lesson requires.</t>
  </si>
  <si>
    <t xml:space="preserve">ARAMBULO, ROYCE GABRIELLE  A.</t>
  </si>
  <si>
    <t xml:space="preserve">https://github.com/Kiz1007/CPP102-Week-2-Activity.git</t>
  </si>
  <si>
    <t xml:space="preserve">Kiz1007/CPP102-Week-2-Activity</t>
  </si>
  <si>
    <t xml:space="preserve">README.md, algorithm.txt, pseudocode.txt, flowchart1.md, flowchart2.md, flowchart3.md</t>
  </si>
  <si>
    <t xml:space="preserve">100% GitHub web interface (9/9 commits)</t>
  </si>
  <si>
    <t xml:space="preserve">Activity 2 is titled 'Compute the average of three quiz scores' but the algorithm and pseudocode only compute the sum (score1+score2+score3) with no division by 3 -- a real logic error. The flowchart correctly divides by 3, so the flowchart and algorithm/pseudocode are inconsistent with each other. Git: all 9 commit(s) were made directly on the GitHub website (committer = GitHub), not via local git as the lesson requires. The README reflection is shorter than the required 2 sentences.</t>
  </si>
  <si>
    <t xml:space="preserve">BALTAZAR, RAPH LEONARD  J.</t>
  </si>
  <si>
    <t xml:space="preserve">https://github.com/raphleonardjalecobaltazar-design/CPP102-Week2-Baltazar</t>
  </si>
  <si>
    <t xml:space="preserve">raphleonardjalecobaltazar-design/CPP102-Week2-Baltazar</t>
  </si>
  <si>
    <t xml:space="preserve">README.md, Activity Algorithm.txt, Activity pseudocode.txt, Activity 1 Flowchart.png, Activity 2 Flowchart.png, Activity 3 Flowchart.png</t>
  </si>
  <si>
    <t xml:space="preserve">100% local git (2/2 commits)</t>
  </si>
  <si>
    <t xml:space="preserve">All three activities (sum, average of 3 scores, even/odd) are correct and consistent. Flowcharts are PNG images; content could not be verified beyond file presence. Git: all 2 commit(s) were made via local git (VS Code/terminal) and pushed, as required.</t>
  </si>
  <si>
    <t xml:space="preserve">BANGSOY, JOHNNA FREYA  A.</t>
  </si>
  <si>
    <t xml:space="preserve">https://github.com/JohnnaFreyaBangsoy/CPP102-Week-2-Bangsoy-.git</t>
  </si>
  <si>
    <t xml:space="preserve">JohnnaFreyaBangsoy/CPP102-Week-2-Bangsoy-</t>
  </si>
  <si>
    <t xml:space="preserve">README.md, Algorithm.txt, Pseudocode.txt, Flowchart1.md, Flowchart2.md, Flowchart3.md</t>
  </si>
  <si>
    <t xml:space="preserve">100% GitHub web interface (4/4 commits)</t>
  </si>
  <si>
    <t xml:space="preserve">Same issue as several classmates: Activity 2 ('average of three quiz scores') is computed as a plain sum with no division by 3 in both the algorithm and pseudocode. The flowchart correctly divides by 3 but still labels the result 'sum' instead of 'average'. Git: all 4 commit(s) were made directly on the GitHub website (committer = GitHub), not via local git as the lesson requires.</t>
  </si>
  <si>
    <t xml:space="preserve">BATIN, EARL JHEMUEL  R.</t>
  </si>
  <si>
    <t xml:space="preserve">https://github.com/batinearljhemuel-byte/cpp102-week2-batin</t>
  </si>
  <si>
    <t xml:space="preserve">batinearljhemuel-byte/cpp102-week2-batin</t>
  </si>
  <si>
    <t xml:space="preserve">README.md, algorithm.txt, pseudocode.txt, Flowchart1.md, Flowchart2.md, Flowchart3.md</t>
  </si>
  <si>
    <t xml:space="preserve">Mixed: 1/5 commits local, 4/5 via GitHub web</t>
  </si>
  <si>
    <t xml:space="preserve">Variable-reference errors: the algorithm computes 'sum = sum1 + sum2' although the inputs were stored as num1/num2, and the pseudocode computes 'average = (sum1+sum2+sum3)/3' although the inputs were named score1/score2/score3. These undefined-variable references are real logic bugs even though the flowchart is correct. Git: 1 of 5 commits were made via local git; the rest were made directly on the GitHub website.</t>
  </si>
  <si>
    <t xml:space="preserve">BERCASIO, PRECIOUS JANAREI  C.</t>
  </si>
  <si>
    <t xml:space="preserve">no work submitted</t>
  </si>
  <si>
    <t xml:space="preserve">No Link Provided</t>
  </si>
  <si>
    <t xml:space="preserve">Not Submitted</t>
  </si>
  <si>
    <t xml:space="preserve">N/A</t>
  </si>
  <si>
    <t xml:space="preserve">None</t>
  </si>
  <si>
    <t xml:space="preserve">N/A (not submitted)</t>
  </si>
  <si>
    <t xml:space="preserve">No work submitted.</t>
  </si>
  <si>
    <t xml:space="preserve">BUENO, ABEGAIL  T.</t>
  </si>
  <si>
    <t xml:space="preserve">https://github.com/a4byv/CPP-102---WEEK-2_BUENO.git</t>
  </si>
  <si>
    <t xml:space="preserve">a4byv/CPP-102---WEEK-2_BUENO</t>
  </si>
  <si>
    <t xml:space="preserve">README.md, problem1_algorithm.txt, problem1_pseudocode.txt, Flowchart 1.MD, Flowchart 2.MD, Flowchart 3.MD</t>
  </si>
  <si>
    <t xml:space="preserve">100% GitHub web interface (14/14 commits)</t>
  </si>
  <si>
    <t xml:space="preserve">Significant inconsistency across the three artifacts: the algorithm's three activities (add numbers, even/odd, rectangle area) do not match the pseudocode's three activities (add numbers, average of 3 grades, even/odd), and none of the three flowcharts (pass/fail, positive/negative, positive/negative again) correspond to either the algorithm's or the pseudocode's activities. Flowchart 3 is also a duplicate of flowchart 2. Git: all 14 commit(s) were made directly on the GitHub website (committer = GitHub), not via local git as the lesson requires.</t>
  </si>
  <si>
    <t xml:space="preserve">CABAN, JOANA MARIE  T.</t>
  </si>
  <si>
    <t xml:space="preserve">https://github.com/riechoco/CPP102-Week2-Caban.git</t>
  </si>
  <si>
    <t xml:space="preserve">riechoco/CPP102-Week2-Caban</t>
  </si>
  <si>
    <t xml:space="preserve">README.md, algorithm.txt, pseudocode..txt, flowchart1.md, flowchart2.md, flowchart3.md</t>
  </si>
  <si>
    <t xml:space="preserve">Algorithm.txt only contains Activity 1 (add two numbers); Activities 2 and 3 are missing from the algorithm file entirely, even though they are present in the pseudocode and flowcharts. Minor pseudocode typo: 'DISPLAY suSm'. Git: all 4 commit(s) were made directly on the GitHub website (committer = GitHub), not via local git as the lesson requires.</t>
  </si>
  <si>
    <t xml:space="preserve">CALALANG, HAROLD KIERBY  T.</t>
  </si>
  <si>
    <t xml:space="preserve">https://github.com/haroldkierbycalalang/cpp102-week2-calalang.git</t>
  </si>
  <si>
    <t xml:space="preserve">haroldkierbycalalang/cpp102-week2-calalang</t>
  </si>
  <si>
    <t xml:space="preserve">Mixed: 1/2 commits local, 1/2 via GitHub web</t>
  </si>
  <si>
    <t xml:space="preserve">Algorithm.txt correctly covers all three activities. Pseudocode for Activity 2 (average of three quiz scores) is cut off after the INPUT lines -- the PROCESS, DISPLAY, and END lines are missing entirely. Git: 1 of 2 commits were made via local git; the rest were made directly on the GitHub website.</t>
  </si>
  <si>
    <t xml:space="preserve">CARAAN, CHIMREIGH  G.</t>
  </si>
  <si>
    <t xml:space="preserve">https://github.com/chim0123/cpp102-week2-caraan</t>
  </si>
  <si>
    <t xml:space="preserve">chim0123/cpp102-week2-caraan</t>
  </si>
  <si>
    <t xml:space="preserve">All three activities are correct, clearly separated, and consistent across algorithm, pseudocode, and flowchart. Git: all 1 commit(s) were made directly on the GitHub website (committer = GitHub), not via local git as the lesson requires.</t>
  </si>
  <si>
    <t xml:space="preserve">CARTERA, RICHARD  S.</t>
  </si>
  <si>
    <t xml:space="preserve">https://github.com/CarteraRichard-3168/cpp102-Week2-Cartera</t>
  </si>
  <si>
    <t xml:space="preserve">CarteraRichard-3168/cpp102-Week2-Cartera</t>
  </si>
  <si>
    <t xml:space="preserve">README.md, ACTIVITY_WEEK2_ALGORITHM.txt, ACTIVITY_WEEK2_PSEUDOCODE.txt, ACTIVITY1_WEEK2_flowchart.md, ACTIVITY2_WEEK2-flowchart.md, ACTIVITY3_WEEK2_flowchart.md</t>
  </si>
  <si>
    <t xml:space="preserve">All three activities are correct and consistent, with clear problem statements included for each. Git: all 1 commit(s) were made directly on the GitHub website (committer = GitHub), not via local git as the lesson requires.</t>
  </si>
  <si>
    <t xml:space="preserve">COMIA, KALE CHRISTOFFE  C.</t>
  </si>
  <si>
    <t xml:space="preserve">https://github.com/christoffecomia2007-stack/cpp102-week2--comia</t>
  </si>
  <si>
    <t xml:space="preserve">christoffecomia2007-stack/cpp102-week2--comia</t>
  </si>
  <si>
    <t xml:space="preserve">README.md, algorithm.txt, pseudocode.txt, ACTIVITY2_WEEK2_flowchart.md, activity2-week2-flowchart2.md, activity2-week2-flowchart3.md</t>
  </si>
  <si>
    <t xml:space="preserve">Activities are inconsistent across artifacts: algorithm.txt covers pass/fail, positive/negative, and average of 3 grades, but pseudocode.txt instead covers add-numbers, pass/fail, and positive/negative (no pseudocode exists for 'average of 3 grades'). Only two flowcharts are present (pass/fail, positive/negative) -- a third is missing. The pseudocode.txt content is identical to another student's submission (Cruz, row 17). Possible similarity with another submission; manual review recommended. Git: all 6 commit(s) were made directly on the GitHub website (committer = GitHub), not via local git as the lesson requires.</t>
  </si>
  <si>
    <t xml:space="preserve">CRUZ, JOHN MICHAEL  M.</t>
  </si>
  <si>
    <t xml:space="preserve">https://github.com/johnmichaelcruz-cyber/cpp102-week2--cruz</t>
  </si>
  <si>
    <t xml:space="preserve">johnmichaelcruz-cyber/cpp102-week2--cruz</t>
  </si>
  <si>
    <t xml:space="preserve">README.md, algorithm.txt, pseudocode.txt, ACTIVITY2_WEEK2_flowchart.md, ACTIVITY2_WEEK2_flowchart2.md, ACTIVITY2_WEEK2_flowchart3.md</t>
  </si>
  <si>
    <t xml:space="preserve">Algorithm.txt duplicates the pass/fail activity twice and never covers 'average of 3 grades'; pseudocode covers add-numbers/pass-fail/positive-negative instead, so the three artifacts do not correspond to the same three activities. Only two of three flowcharts are present. The pseudocode.txt content is identical to another student's submission (Comia, row 16), and algorithm.txt has a duplicated grade-checking section while the third algorithm is missing entirely. Possible similarity with another submission; manual review recommended. Git: all 7 commit(s) were made directly on the GitHub website (committer = GitHub), not via local git as the lesson requires.</t>
  </si>
  <si>
    <t xml:space="preserve">DE LOS SANTOS, XANDER JANN  M.</t>
  </si>
  <si>
    <t xml:space="preserve">https://github.com/delossantosxanderjann412-collab/CPP102-WEEK2-DeLosSantos.git</t>
  </si>
  <si>
    <t xml:space="preserve">delossantosxanderjann412-collab/CPP102-WEEK2-DeLosSantos</t>
  </si>
  <si>
    <t xml:space="preserve">Algorithm.txt Activity 2 never asks for a third score (score3) as input, yet the formula uses it, and the formula omits the division by 3 entirely ('average = score1+score2+score3' with no /3) -- a real logic error not present in the pseudocode or flowchart. Git: all 1 commit(s) were made directly on the GitHub website (committer = GitHub), not via local git as the lesson requires. Cross-section check: a commit authored and committed under this student's own name/email was found in another student's repository in section 1CPE-B (Fulgar). Manual review recommended to confirm whether this reflects legitimate help/collaboration or unauthorized repository access.</t>
  </si>
  <si>
    <t xml:space="preserve">DE VERA, MA. ELEONOR  A.</t>
  </si>
  <si>
    <t xml:space="preserve">https://github.com/riakyn/cpp102-week2-devera.git</t>
  </si>
  <si>
    <t xml:space="preserve">riakyn/cpp102-week2-devera</t>
  </si>
  <si>
    <t xml:space="preserve">Algorithm.txt Activity 2 only has steps to input score1 and score2, but the formula references a score3 that was never requested -- a missing-input error. The pseudocode correctly inputs all three scores. Git: all 1 commit(s) were made via local git (VS Code/terminal) and pushed, as required. Cross-section check: commits authored and committed under this student's own name/email were found in two other students' repositories in section 1CPE-B (Geluz and Perez). Manual review recommended to confirm whether this reflects legitimate help/collaboration or unauthorized repository access.</t>
  </si>
  <si>
    <t xml:space="preserve">DELA CRUZ, JOHN LOUIE  P.</t>
  </si>
  <si>
    <t xml:space="preserve">https://github.com/delacruzjohnlouiep/CPP102-1CPE-A-delacruzjohnlouiep..git</t>
  </si>
  <si>
    <t xml:space="preserve">delacruzjohnlouiep/CPP102-1CPE-A-delacruzjohnlouiep.</t>
  </si>
  <si>
    <t xml:space="preserve">README.md, algorithm.txt, pseudocode.txt, Flowchart2.md, flowchart1.md, flowchart3.md</t>
  </si>
  <si>
    <t xml:space="preserve">100% GitHub web interface (3/3 commits)</t>
  </si>
  <si>
    <t xml:space="preserve">Algorithm.txt Activity 2 has a formula typo: 'Score = (Point1 + Point2 = Point3)/3' uses an '=' instead of '+' between the second and third terms. Variable naming is inconsistent between algorithm (Point1/2/3) and pseudocode/flowchart (Score1/2/3) for the same activity. Git: all 3 commit(s) were made directly on the GitHub website (committer = GitHub), not via local git as the lesson requires.</t>
  </si>
  <si>
    <t xml:space="preserve">DELA CRUZ, SEAN  D.</t>
  </si>
  <si>
    <t xml:space="preserve">https://github.com/Yourself138/cpp102-week2-delacruz-sean.git</t>
  </si>
  <si>
    <t xml:space="preserve">Yourself138/cpp102-week2-delacruz-sean</t>
  </si>
  <si>
    <t xml:space="preserve">README.md, algorithm.txt, pseudocode.txt, flowchart1.png, flowchart2.png, flowchart3.png</t>
  </si>
  <si>
    <t xml:space="preserve">100% local git (5/5 commits)</t>
  </si>
  <si>
    <t xml:space="preserve">All three activities (sum, average of 3 scores, even/odd) are correct and consistent. Flowcharts are PNG images; content could not be verified beyond file presence. Git: all 5 commit(s) were made via local git (VS Code/terminal) and pushed, as required.</t>
  </si>
  <si>
    <t xml:space="preserve">EVANGELISTA, MARK  R.</t>
  </si>
  <si>
    <t xml:space="preserve">https://github.com/evangelistamark0331-oss/Cpp102-Week2-Evangelista.git</t>
  </si>
  <si>
    <t xml:space="preserve">evangelistamark0331-oss/Cpp102-Week2-Evangelista</t>
  </si>
  <si>
    <t xml:space="preserve">README.md, Algorithm.txt, pseudocode act 1.txt, Flowchart1.png, Flowchart2.png, Flowchart3.png</t>
  </si>
  <si>
    <t xml:space="preserve">Minor typo in pseudocode Activity 2: references an undefined variable 'score30' instead of 'score3'. Flowcharts are PNG images; content could not be verified beyond file presence. Git: all 1 commit(s) were made directly on the GitHub website (committer = GitHub), not via local git as the lesson requires.</t>
  </si>
  <si>
    <t xml:space="preserve">FABROS, JOMER  Y.</t>
  </si>
  <si>
    <t xml:space="preserve">https://github.com/jomrfbros/-CPP102-week2-Fabros</t>
  </si>
  <si>
    <t xml:space="preserve">jomrfbros/-CPP102-week2-Fabros</t>
  </si>
  <si>
    <t xml:space="preserve">100% GitHub web interface (5/5 commits)</t>
  </si>
  <si>
    <t xml:space="preserve">Pseudocode Activity 2 omits the division by 3 ('Process average = score1+score2+score3', no /3) even though the algorithm correctly includes it -- a real logic error specific to the pseudocode. Flowcharts are PNG images; content could not be verified beyond file presence. Git: all 5 commit(s) were made directly on the GitHub website (committer = GitHub), not via local git as the lesson requires.</t>
  </si>
  <si>
    <t xml:space="preserve">GATCHALIAN, MC KELLY VHOI  A.</t>
  </si>
  <si>
    <t xml:space="preserve">https://github.com/gatchalian-boi420/CPPE102-week2-gatchalian.git</t>
  </si>
  <si>
    <t xml:space="preserve">gatchalian-boi420/CPPE102-week2-gatchalian</t>
  </si>
  <si>
    <t xml:space="preserve">README.md, algorithm act 1.txt, psuedocode act 1.txt, Flowchart1.md, flowchart 2.md, flowchart3.md</t>
  </si>
  <si>
    <t xml:space="preserve">Algorithm and pseudocode are correct, clear, and consistent for all three activities. All three flowchart files are corrupted: they contain raw PNG image binary data saved with a .md extension instead of Mermaid text, so they do not render as flowcharts at all on GitHub. One commit in the repository history is attributed to a different name than the student's own GitHub account; manual review recommended. Git: 1 of 2 commits were made via local git; the rest were made directly on the GitHub website.</t>
  </si>
  <si>
    <t xml:space="preserve">GUMPAL, WILLIAM ELIS  K.</t>
  </si>
  <si>
    <t xml:space="preserve">https://github.com/w3kg/CPP102-Week2-Gumpal</t>
  </si>
  <si>
    <t xml:space="preserve">w3kg/CPP102-Week2-Gumpal</t>
  </si>
  <si>
    <t xml:space="preserve">README.md, Algorithm.txt, Psuedocode.txt, flowchart1.png, flowchart2.png, flowchart3.pdf</t>
  </si>
  <si>
    <t xml:space="preserve">100% GitHub web interface (2/2 commits)</t>
  </si>
  <si>
    <t xml:space="preserve">All three activities are logically correct. Minor pseudocode typos ('INPUTE', 'DISPLA'). Flowcharts are images/PDF; content could not be verified beyond file presence. Git: all 2 commit(s) were made directly on the GitHub website (committer = GitHub), not via local git as the lesson requires.</t>
  </si>
  <si>
    <t xml:space="preserve">IBAÑEZ, LANCE  A.</t>
  </si>
  <si>
    <t xml:space="preserve">https://github.com/lancearchive/cpp102-week2-ibanez</t>
  </si>
  <si>
    <t xml:space="preserve">lancearchive/cpp102-week2-ibanez</t>
  </si>
  <si>
    <t xml:space="preserve">README.md, Algorithm.txt, pseudocode.txt, flowchart1.png, flowchart2.png, flowchart3.png</t>
  </si>
  <si>
    <t xml:space="preserve">Mixed: 4/6 commits local, 2/6 via GitHub web</t>
  </si>
  <si>
    <t xml:space="preserve">All three activities are correct, clear, and consistent. Flowcharts are PNG images; content could not be verified beyond file presence. Git: 4 of 6 commits were made via local git; the rest were made directly on the GitHub website.</t>
  </si>
  <si>
    <t xml:space="preserve">LACEDA, ANDREI MIGUEL  D.</t>
  </si>
  <si>
    <t xml:space="preserve">LEOPARDAS, CYREL  J.</t>
  </si>
  <si>
    <t xml:space="preserve">https://github.com/LeopardasCyrelJ/cpp102-week2-leopardas</t>
  </si>
  <si>
    <t xml:space="preserve">LeopardasCyrelJ/cpp102-week2-leopardas</t>
  </si>
  <si>
    <t xml:space="preserve">problem1_algorithm.txt, problem2_algorithm.txt, problem3_pseudocode&amp;algorithm.txt, problem1_pseudocode.txt, problem2_pseudocode.txt, problem3_pseudocode&amp;algorithm.txt, problem1_flowchart.md, problem2_flowchart.md</t>
  </si>
  <si>
    <t xml:space="preserve">Algorithm and pseudocode correctly and consistently cover three activities (add numbers, pass/fail, positive/negative). Only two of three required flowcharts are present; the flowchart for the positive/negative activity is missing. No README.md is present. Git: all 1 commit(s) were made directly on the GitHub website (committer = GitHub), not via local git as the lesson requires. No README.md is present, so name/section/reflection could not be confirmed.</t>
  </si>
  <si>
    <t xml:space="preserve">MAGNAYE, GELSON  T.</t>
  </si>
  <si>
    <t xml:space="preserve">https://github.com/gelsonmagnaye/cpp102-week2-magnaye.git</t>
  </si>
  <si>
    <t xml:space="preserve">gelsonmagnaye/cpp102-week2-magnaye</t>
  </si>
  <si>
    <t xml:space="preserve">problem1_algorithm.txt, problem1_pseudocode.txt, problem1_flowcart.md, problem1_flowchart2.md, problem1_flowchart3.md</t>
  </si>
  <si>
    <t xml:space="preserve">Algorithm.txt duplicates the pass/fail activity twice and never covers 'add two numbers' (which only appears in the pseudocode). The three flowcharts (found under a misspelled filename 'problem1_flowcart.md' plus redundant duplicate files) cover add-numbers, average-of-3-grades, and even/odd -- none of which match the algorithm/pseudocode's pass/fail and positive/negative activities beyond 'add numbers'. The three artifacts effectively describe different sets of problems. No README.md is present. Git: all 1 commit(s) were made directly on the GitHub website (committer = GitHub), not via local git as the lesson requires. No README.md is present, so name/section/reflection could not be confirmed.</t>
  </si>
  <si>
    <t xml:space="preserve">MANIPOL, KRISSARICH  V.</t>
  </si>
  <si>
    <t xml:space="preserve">https://github.com/yssa-han/CPP102-WEEK-2-Manipol.git/</t>
  </si>
  <si>
    <t xml:space="preserve">yssa-han/CPP102-WEEK-2-Manipol</t>
  </si>
  <si>
    <t xml:space="preserve">problem1_algorithm.txt, problem1_pseudocode.txt, problem1_flowchart.md, problem2_flowchart.md, problem3_flowchart.md</t>
  </si>
  <si>
    <t xml:space="preserve">Algorithm Activity 2 (even/odd) does not match pseudocode Activity 2 (positive/negative). Flowchart for the even/odd check uses invalid Mermaid syntax ('C --&gt; YES --&gt; D'), which creates a spurious node instead of a labeled decision branch. Flowchart for the rectangle-area activity computes area as length + width (addition) instead of length x width (multiplication) -- a real logic error. No README.md is present. Neither the GitHub account nor any commit in this repository is attributed to the student's name; authorship could not be verified. Manual review recommended. Git: all 2 commit(s) were made via local git (VS Code/terminal) and pushed, as required. No README.md is present, so name/section/reflection could not be confirmed.</t>
  </si>
  <si>
    <t xml:space="preserve">MARABILLO, NAITAN  N.</t>
  </si>
  <si>
    <t xml:space="preserve">MONTENEGRO, ANGELICA VERONE  O.</t>
  </si>
  <si>
    <t xml:space="preserve">https://github.com/angelicaverone/cpp102-week2-montenegro.git</t>
  </si>
  <si>
    <t xml:space="preserve">angelicaverone/cpp102-week2-montenegro</t>
  </si>
  <si>
    <t xml:space="preserve">README.md, cpp102-week2-montenegro/algorithm.txt, pseudocode.txt, flowchart1.png, flowchart2.png, flowchart3.png</t>
  </si>
  <si>
    <t xml:space="preserve">Mixed: 1/3 commits local, 2/3 via GitHub web</t>
  </si>
  <si>
    <t xml:space="preserve">Algorithm.txt correctly covers all three activities. 'Pseudocode.txt' is not actually written as pseudocode -- it duplicates the algorithm's plain-English step format verbatim rather than using START/INPUT/PROCESS/DISPLAY/END structure. All three flowchart PNG files are 0 bytes (empty/broken); a separate Mermaid-exported image exists but does not cover all three activities. Git: 1 of 3 commits were made via local git; the rest were made directly on the GitHub website.</t>
  </si>
  <si>
    <t xml:space="preserve">OBIDOS, MICA ELIZABETH  N.</t>
  </si>
  <si>
    <t xml:space="preserve">https://github.com/MicaElizabethObidos/cpp102-week2-obidos.git</t>
  </si>
  <si>
    <t xml:space="preserve">MicaElizabethObidos/cpp102-week2-obidos</t>
  </si>
  <si>
    <t xml:space="preserve">README.md, problem1_algorithm.txt, problem1_pseudocode.txt, problem_flowchart.md</t>
  </si>
  <si>
    <t xml:space="preserve">Mixed: 1/6 commits local, 5/6 via GitHub web</t>
  </si>
  <si>
    <t xml:space="preserve">This submission uses a different set of three problems (even/odd, comparing two numbers, sum of 1 to n via a loop) rather than the standard class activities. All three are handled correctly and consistently across algorithm, pseudocode, and flowchart, including a properly structured loop -- technically sound, though it may be worth confirming this matches what was actually assigned. Git: 1 of 6 commits were made via local git; the rest were made directly on the GitHub website.</t>
  </si>
  <si>
    <t xml:space="preserve">PABIA, MHER YELLE JOYCE  B.</t>
  </si>
  <si>
    <t xml:space="preserve">https://github.com/pabiamheryellejoyce/cpp102-week2-pabia.git</t>
  </si>
  <si>
    <t xml:space="preserve">pabiamheryellejoyce/cpp102-week2-pabia</t>
  </si>
  <si>
    <t xml:space="preserve">README.md, problem_1algorithm.txt, problem1_pseudocode.txt, problem1_flowchart.md</t>
  </si>
  <si>
    <t xml:space="preserve">Mixed: 2/20 commits local, 18/20 via GitHub web</t>
  </si>
  <si>
    <t xml:space="preserve">All three activities (rectangle area, positive/negative/zero, average of 3 grades) are correct and consistent. Flowchart 3 has an operator-precedence error: 'Average = G1 + G2 + G3 / 3' without parentheses evaluates as G1+G2+(G3/3) rather than the intended (G1+G2+G3)/3, even though the algorithm and pseudocode correctly use parentheses. Git: 2 of 20 commits were made via local git; the rest were made directly on the GitHub website.</t>
  </si>
  <si>
    <t xml:space="preserve">PAILAGA, SHEILA MAE  E.</t>
  </si>
  <si>
    <t xml:space="preserve">PANES, MARIAN TRISHA  A.</t>
  </si>
  <si>
    <t xml:space="preserve">https://github.com/trishamarpanes-sudo/cpp102-week2-panes.git</t>
  </si>
  <si>
    <t xml:space="preserve">trishamarpanes-sudo/cpp102-week2-panes</t>
  </si>
  <si>
    <t xml:space="preserve">100% local git (6/6 commits)</t>
  </si>
  <si>
    <t xml:space="preserve">All three activities are correct, clear, and thoroughly written with an explicit PROMPT/INPUT structure. Git: all 6 commit(s) were made via local git (VS Code/terminal) and pushed, as required.</t>
  </si>
  <si>
    <t xml:space="preserve">PASIONA, EUNICE  R.</t>
  </si>
  <si>
    <t xml:space="preserve">https://github.com/pasionaeunice/cpp102-week2-pasiona.git</t>
  </si>
  <si>
    <t xml:space="preserve">pasionaeunice/cpp102-week2-pasiona</t>
  </si>
  <si>
    <t xml:space="preserve">README.md, algorithm.txt, pseucode.txt, flowchart1.md, flowchart2.md, flowchart3.md</t>
  </si>
  <si>
    <t xml:space="preserve">Algorithm.txt Activity 2 is titled 'average of three quiz scores' but its steps actually describe an unrelated rectangle-area problem (length/width) -- a copy-paste mismatch. The pseudocode and flowchart correctly contain the average-of-scores logic instead. Flowchart 2 has an operator-precedence error: 'average = score1 + score2 + score3 / 3' without parentheses. Git: 1 of 3 commits were made via local git; the rest were made directly on the GitHub website.</t>
  </si>
  <si>
    <t xml:space="preserve">PERMEJO, KENT ANDREW  P.</t>
  </si>
  <si>
    <t xml:space="preserve">https://github.com/HanaHanae/cpp102-week2-permejo</t>
  </si>
  <si>
    <t xml:space="preserve">HanaHanae/cpp102-week2-permejo</t>
  </si>
  <si>
    <t xml:space="preserve">README.md, algorithym.txt, pseudocode.txt, flowchart1.md, flowchart2.md, flowchart3.md</t>
  </si>
  <si>
    <t xml:space="preserve">Mixed: 1/10 commits local, 9/10 via GitHub web</t>
  </si>
  <si>
    <t xml:space="preserve">All three activities (add numbers, pass/fail, positive/negative) are correct and consistent across algorithm, pseudocode, and flowchart. Git: 1 of 10 commits were made via local git; the rest were made directly on the GitHub website.</t>
  </si>
  <si>
    <t xml:space="preserve">QUEBADA, LUIZA  R.</t>
  </si>
  <si>
    <t xml:space="preserve">https://github.com/Quebada-1CPE-A/cpp102-week2-quebada</t>
  </si>
  <si>
    <t xml:space="preserve">Quebada-1CPE-A/cpp102-week2-quebada</t>
  </si>
  <si>
    <t xml:space="preserve">All three activities are correct. Flowchart 2 has an operator-precedence error (missing parentheses around the sum before dividing by 3). Flowchart 3's decision branches are unlabeled ('C --&gt; D' / 'C --&gt; E' with no Yes/No text), which is less clear than a properly labeled decision. Git: all 1 commit(s) were made via local git (VS Code/terminal) and pushed, as required.</t>
  </si>
  <si>
    <t xml:space="preserve">QUEJADA, JEDLYN ROSS  D.</t>
  </si>
  <si>
    <t xml:space="preserve">https://github.com/jedlynross/cpp102-week2-quejada.git</t>
  </si>
  <si>
    <t xml:space="preserve">jedlynross/cpp102-week2-quejada</t>
  </si>
  <si>
    <t xml:space="preserve">algorithm.txt, pseudocode.txt, flowchart1.md, flowchart1.png, flowchart2.md, flowchart2.png, flowchart3.md, flowchart3.png</t>
  </si>
  <si>
    <t xml:space="preserve">Pseudocode Activity 2 omits the division by 3 entirely (computes and displays a sum, not an average). Flowchart 1 references an undefined variable ('sum2' instead of 'num2'). Flowchart 2 has malformed Mermaid syntax with mismatched brackets and a missing division by 3, so it would not render correctly. No README.md is present. Git: all 6 commit(s) were made via local git (VS Code/terminal) and pushed, as required. No README.md is present, so name/section/reflection could not be confirmed. Cross-section check: a commit authored and committed under this student's own name/email was found in another student's repository in section 1CPE-B (Villapando). Manual review recommended to confirm whether this reflects legitimate help/collaboration or unauthorized repository access.</t>
  </si>
  <si>
    <t xml:space="preserve">RAMOS, DYLAN  D.</t>
  </si>
  <si>
    <t xml:space="preserve">https://github.com/dylanramos09096-oss/CPP-102-WEEK2-Ramos</t>
  </si>
  <si>
    <t xml:space="preserve">dylanramos09096-oss/CPP-102-WEEK2-Ramos</t>
  </si>
  <si>
    <t xml:space="preserve">README.md, Algorithm.txt, Pseudocode.txt, Flowchart 1.md, Flowchart 2.md, Flowchart 3.md</t>
  </si>
  <si>
    <t xml:space="preserve">All three activities (sum, pass/fail, positive/negative) are logically correct. Minor typos ('Complete sum', 'Stpe 4', 'Displas'). Flowcharts 2 and 3 use non-standard Mermaid edge syntax ('C--&gt;Yes--&gt;D'), which creates an extra unlabeled node rather than a properly labeled decision branch. Git: all 3 commit(s) were made directly on the GitHub website (committer = GitHub), not via local git as the lesson requires.</t>
  </si>
  <si>
    <t xml:space="preserve">RODRIGUEZ, KEVIN ROY  S.</t>
  </si>
  <si>
    <t xml:space="preserve">https://github.com/vinyorr/cpp102-week2-rodriguez</t>
  </si>
  <si>
    <t xml:space="preserve">vinyorr/cpp102-week2-rodriguez</t>
  </si>
  <si>
    <t xml:space="preserve">All three activities are correct, clear, and consistent, using clear assignment notation. One commit in this repository -- in fact the entire commit history -- is attributed to a different name than the student's own; authorship could not be verified. Manual review recommended. Git: all 1 commit(s) were made via local git (VS Code/terminal) and pushed, as required.</t>
  </si>
  <si>
    <t xml:space="preserve">TUD, ALLEN FARREL  S.</t>
  </si>
  <si>
    <t xml:space="preserve">VELASCO, PETER DANIEL  B.</t>
  </si>
  <si>
    <t xml:space="preserve">https://github.com/PDBVelasco/cpp102-week2-Velasco.git</t>
  </si>
  <si>
    <t xml:space="preserve">PDBVelasco/cpp102-week2-Velasco</t>
  </si>
  <si>
    <t xml:space="preserve">README.md, Algorithm.txt, pseudocode.txt, flowchart 1.md, flowchart 2.md, flowchart 3.md</t>
  </si>
  <si>
    <t xml:space="preserve">Mixed: 1/7 commits local, 6/7 via GitHub web</t>
  </si>
  <si>
    <t xml:space="preserve">Algorithm and pseudocode for Activity 2 describe the average only in vague prose ('average all 3 numbers') without showing the formula (the flowchart correctly shows the formula). Activity 3 (even/odd) never specifies the actual divisibility check (no mention of MOD 2) in either the algorithm or the pseudocode -- only the flowchart shows the correct 'number mod 2 = 0?' logic. Uses non-standard '~~~' code fences instead of standard triple-backtick Markdown fences for the Mermaid blocks. Git: 1 of 7 commits were made via local git; the rest were made directly on the GitHub website. The README reflection is shorter than the required 2 sentences.</t>
  </si>
  <si>
    <t xml:space="preserve">YALDUA, PAUL JOHNCENT  B.</t>
  </si>
  <si>
    <t xml:space="preserve">https://github.com/paulyaldua168-coder/cpp102-week2-yaldua</t>
  </si>
  <si>
    <t xml:space="preserve">paulyaldua168-coder/cpp102-week2-yaldua</t>
  </si>
  <si>
    <t xml:space="preserve">Activity 3 (even/odd) is notably thin in both the algorithm and pseudocode -- neither shows the IF/ELSE branching logic, just a vague 'Check is number MOD 2 = 0?' followed by 'Display Even or Odd' with no conditional structure. The flowchart correctly shows the full branching logic. Git: 1 of 7 commits were made via local git; the rest were made directly on the GitHub website.</t>
  </si>
  <si>
    <t xml:space="preserve">CPP102 – Laboratory 1 (Week 2: Algorithm, Pseudocode, and Flowchart) Assessment: Summary</t>
  </si>
  <si>
    <t xml:space="preserve">Metric</t>
  </si>
  <si>
    <t xml:space="preserve">Value</t>
  </si>
  <si>
    <t xml:space="preserve">Total number of students</t>
  </si>
  <si>
    <t xml:space="preserve">Number of submitted assessments</t>
  </si>
  <si>
    <t xml:space="preserve">Number of incomplete submissions</t>
  </si>
  <si>
    <t xml:space="preserve">Number of students with no submission</t>
  </si>
  <si>
    <t xml:space="preserve">Number of inaccessible repositories</t>
  </si>
  <si>
    <t xml:space="preserve">Number requiring manual review</t>
  </si>
  <si>
    <t xml:space="preserve">Class average (Total Score)</t>
  </si>
  <si>
    <t xml:space="preserve">Highest score</t>
  </si>
  <si>
    <t xml:space="preserve">Lowest score</t>
  </si>
  <si>
    <t xml:space="preserve">Grade Distribution</t>
  </si>
  <si>
    <t xml:space="preserve">Count</t>
  </si>
  <si>
    <t xml:space="preserve">1.00</t>
  </si>
  <si>
    <t xml:space="preserve">1.25</t>
  </si>
  <si>
    <t xml:space="preserve">1.50</t>
  </si>
  <si>
    <t xml:space="preserve">1.75</t>
  </si>
  <si>
    <t xml:space="preserve">2.00</t>
  </si>
  <si>
    <t xml:space="preserve">2.25</t>
  </si>
  <si>
    <t xml:space="preserve">2.50</t>
  </si>
  <si>
    <t xml:space="preserve">2.75</t>
  </si>
  <si>
    <t xml:space="preserve">3.00</t>
  </si>
  <si>
    <t xml:space="preserve">5.00</t>
  </si>
  <si>
    <t xml:space="preserve">Note on methodology</t>
  </si>
  <si>
    <t xml:space="preserve">Scored against the assignment's actual rubric: Input-Process-Output Analysis (15), Algorithm Correctness and Clarity (20), Pseudocode Correctness and Readability (20), Flowchart Correctness and Symbol Usage (25), Git Commit Evidence and File Organization (10), Completeness/Neatness/README Reflection (10). Each of the three required activities was checked for internal consistency and mathematical/logical correctness across the algorithm, pseudocode, and flowchart files (not just presence). Common issues deducted for: formulas missing required operations (e.g. average computed without dividing by 3), undefined/mismatched variable names, activities that don't correspond across the three artifact types, broken or empty files, and invalid flowchart syntax. Git/file-organization and README scores are based on actual commit history and repository structure, since no separate screenshots were submitted.</t>
  </si>
</sst>
</file>

<file path=xl/styles.xml><?xml version="1.0" encoding="utf-8"?>
<styleSheet xmlns="http://schemas.openxmlformats.org/spreadsheetml/2006/main">
  <numFmts count="2">
    <numFmt numFmtId="164" formatCode="General"/>
    <numFmt numFmtId="165" formatCode="0.00"/>
  </numFmts>
  <fonts count="13">
    <font>
      <sz val="12"/>
      <color theme="1"/>
      <name val="Aptos Narrow"/>
      <family val="2"/>
      <charset val="1"/>
    </font>
    <font>
      <sz val="10"/>
      <name val="Arial"/>
      <family val="0"/>
    </font>
    <font>
      <sz val="10"/>
      <name val="Arial"/>
      <family val="0"/>
    </font>
    <font>
      <sz val="10"/>
      <name val="Arial"/>
      <family val="0"/>
    </font>
    <font>
      <b val="true"/>
      <sz val="10"/>
      <color rgb="FF000000"/>
      <name val="Helvetica Neue"/>
      <family val="2"/>
      <charset val="1"/>
    </font>
    <font>
      <b val="true"/>
      <sz val="10"/>
      <color rgb="FF000000"/>
      <name val="Helvetica Neue"/>
      <family val="0"/>
      <charset val="1"/>
    </font>
    <font>
      <sz val="10"/>
      <color rgb="FF000000"/>
      <name val="Helvetica Neue"/>
      <family val="2"/>
      <charset val="1"/>
    </font>
    <font>
      <u val="single"/>
      <sz val="12"/>
      <color theme="10"/>
      <name val="Aptos Narrow"/>
      <family val="2"/>
      <charset val="1"/>
    </font>
    <font>
      <sz val="10"/>
      <name val="Helvetica Neue"/>
      <family val="0"/>
      <charset val="1"/>
    </font>
    <font>
      <b val="true"/>
      <sz val="13"/>
      <name val="Helvetica Neue"/>
      <family val="0"/>
      <charset val="1"/>
    </font>
    <font>
      <b val="true"/>
      <sz val="10"/>
      <color rgb="FFFFFFFF"/>
      <name val="Helvetica Neue"/>
      <family val="0"/>
      <charset val="1"/>
    </font>
    <font>
      <b val="true"/>
      <sz val="10"/>
      <name val="Helvetica Neue"/>
      <family val="0"/>
      <charset val="1"/>
    </font>
    <font>
      <i val="true"/>
      <sz val="9"/>
      <name val="Helvetica Neue"/>
      <family val="0"/>
      <charset val="1"/>
    </font>
  </fonts>
  <fills count="4">
    <fill>
      <patternFill patternType="none"/>
    </fill>
    <fill>
      <patternFill patternType="gray125"/>
    </fill>
    <fill>
      <patternFill patternType="solid">
        <fgColor rgb="FFFCE8B2"/>
        <bgColor rgb="FFFFFFCC"/>
      </patternFill>
    </fill>
    <fill>
      <patternFill patternType="solid">
        <fgColor rgb="FF1F4E78"/>
        <bgColor rgb="FF003366"/>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5" fontId="8" fillId="2"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FCE8B2"/>
          <bgColor rgb="FF000000"/>
        </patternFill>
      </fill>
    </dxf>
    <dxf>
      <fill>
        <patternFill patternType="solid">
          <bgColor rgb="FF000000"/>
        </patternFill>
      </fill>
    </dxf>
    <dxf>
      <fill>
        <patternFill patternType="solid">
          <fgColor rgb="FF000000"/>
          <bgColor rgb="FF000000"/>
        </patternFill>
      </fill>
    </dxf>
    <dxf>
      <fill>
        <patternFill patternType="solid">
          <fgColor rgb="FF46788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8B2"/>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rdnx09/CPP102-Week2-Abarquez" TargetMode="External"/><Relationship Id="rId2" Type="http://schemas.openxmlformats.org/officeDocument/2006/relationships/hyperlink" Target="https://github.com/abquinabrettaleson-rgb/cpp102-week2-abquina" TargetMode="External"/><Relationship Id="rId3" Type="http://schemas.openxmlformats.org/officeDocument/2006/relationships/hyperlink" Target="https://github.com/Alviar6969/cpp102-week2-alviar.git" TargetMode="External"/><Relationship Id="rId4" Type="http://schemas.openxmlformats.org/officeDocument/2006/relationships/hyperlink" Target="https://github.com/alviarmarkjoven-bit/Cpp102-Week2-Alviar" TargetMode="External"/><Relationship Id="rId5" Type="http://schemas.openxmlformats.org/officeDocument/2006/relationships/hyperlink" Target="https://github.com/Kiz1007/CPP102-Week-2-Activity.git" TargetMode="External"/><Relationship Id="rId6" Type="http://schemas.openxmlformats.org/officeDocument/2006/relationships/hyperlink" Target="https://github.com/raphleonardjalecobaltazar-design/CPP102-Week2-Baltazar" TargetMode="External"/><Relationship Id="rId7" Type="http://schemas.openxmlformats.org/officeDocument/2006/relationships/hyperlink" Target="https://github.com/JohnnaFreyaBangsoy/CPP102-Week-2-Bangsoy-.git" TargetMode="External"/><Relationship Id="rId8" Type="http://schemas.openxmlformats.org/officeDocument/2006/relationships/hyperlink" Target="https://github.com/batinearljhemuel-byte/cpp102-week2-batin" TargetMode="External"/><Relationship Id="rId9" Type="http://schemas.openxmlformats.org/officeDocument/2006/relationships/hyperlink" Target="https://github.com/a4byv/CPP-102---WEEK-2_BUENO.git" TargetMode="External"/><Relationship Id="rId10" Type="http://schemas.openxmlformats.org/officeDocument/2006/relationships/hyperlink" Target="https://github.com/riechoco/CPP102-Week2-Caban.git" TargetMode="External"/><Relationship Id="rId11" Type="http://schemas.openxmlformats.org/officeDocument/2006/relationships/hyperlink" Target="https://github.com/haroldkierbycalalang/cpp102-week2-calalang.git" TargetMode="External"/><Relationship Id="rId12" Type="http://schemas.openxmlformats.org/officeDocument/2006/relationships/hyperlink" Target="https://github.com/chim0123/cpp102-week2-caraan" TargetMode="External"/><Relationship Id="rId13" Type="http://schemas.openxmlformats.org/officeDocument/2006/relationships/hyperlink" Target="https://github.com/CarteraRichard-3168/cpp102-Week2-Cartera" TargetMode="External"/><Relationship Id="rId14" Type="http://schemas.openxmlformats.org/officeDocument/2006/relationships/hyperlink" Target="https://github.com/christoffecomia2007-stack/cpp102-week2--comia" TargetMode="External"/><Relationship Id="rId15" Type="http://schemas.openxmlformats.org/officeDocument/2006/relationships/hyperlink" Target="https://github.com/johnmichaelcruz-cyber/cpp102-week2--cruz" TargetMode="External"/><Relationship Id="rId16" Type="http://schemas.openxmlformats.org/officeDocument/2006/relationships/hyperlink" Target="https://github.com/delossantosxanderjann412-collab/CPP102-WEEK2-DeLosSantos.git" TargetMode="External"/><Relationship Id="rId17" Type="http://schemas.openxmlformats.org/officeDocument/2006/relationships/hyperlink" Target="https://github.com/riakyn/cpp102-week2-devera.git" TargetMode="External"/><Relationship Id="rId18" Type="http://schemas.openxmlformats.org/officeDocument/2006/relationships/hyperlink" Target="https://github.com/delacruzjohnlouiep/CPP102-1CPE-A-delacruzjohnlouiep..git" TargetMode="External"/><Relationship Id="rId19" Type="http://schemas.openxmlformats.org/officeDocument/2006/relationships/hyperlink" Target="https://github.com/evangelistamark0331-oss/Cpp102-Week2-Evangelista.git" TargetMode="External"/><Relationship Id="rId20" Type="http://schemas.openxmlformats.org/officeDocument/2006/relationships/hyperlink" Target="https://github.com/jomrfbros/-CPP102-week2-Fabros" TargetMode="External"/><Relationship Id="rId21" Type="http://schemas.openxmlformats.org/officeDocument/2006/relationships/hyperlink" Target="https://github.com/gatchalian-boi420/CPPE102-week2-gatchalian.git" TargetMode="External"/><Relationship Id="rId22" Type="http://schemas.openxmlformats.org/officeDocument/2006/relationships/hyperlink" Target="https://github.com/w3kg/CPP102-Week2-Gumpal" TargetMode="External"/><Relationship Id="rId23" Type="http://schemas.openxmlformats.org/officeDocument/2006/relationships/hyperlink" Target="https://github.com/lancearchive/cpp102-week2-ibanez" TargetMode="External"/><Relationship Id="rId24" Type="http://schemas.openxmlformats.org/officeDocument/2006/relationships/hyperlink" Target="https://github.com/LeopardasCyrelJ/cpp102-week2-leopardas" TargetMode="External"/><Relationship Id="rId25" Type="http://schemas.openxmlformats.org/officeDocument/2006/relationships/hyperlink" Target="https://github.com/gelsonmagnaye/cpp102-week2-magnaye.git" TargetMode="External"/><Relationship Id="rId26" Type="http://schemas.openxmlformats.org/officeDocument/2006/relationships/hyperlink" Target="https://github.com/yssa-han/CPP102-WEEK-2-Manipol.git/" TargetMode="External"/><Relationship Id="rId27" Type="http://schemas.openxmlformats.org/officeDocument/2006/relationships/hyperlink" Target="https://github.com/angelicaverone/cpp102-week2-montenegro.git" TargetMode="External"/><Relationship Id="rId28" Type="http://schemas.openxmlformats.org/officeDocument/2006/relationships/hyperlink" Target="https://github.com/MicaElizabethObidos/cpp102-week2-obidos.git" TargetMode="External"/><Relationship Id="rId29" Type="http://schemas.openxmlformats.org/officeDocument/2006/relationships/hyperlink" Target="https://github.com/pabiamheryellejoyce/cpp102-week2-pabia.git" TargetMode="External"/><Relationship Id="rId30" Type="http://schemas.openxmlformats.org/officeDocument/2006/relationships/hyperlink" Target="https://github.com/trishamarpanes-sudo/cpp102-week2-panes.git" TargetMode="External"/><Relationship Id="rId31" Type="http://schemas.openxmlformats.org/officeDocument/2006/relationships/hyperlink" Target="https://github.com/pasionaeunice/cpp102-week2-pasiona.git" TargetMode="External"/><Relationship Id="rId32" Type="http://schemas.openxmlformats.org/officeDocument/2006/relationships/hyperlink" Target="https://github.com/HanaHanae/cpp102-week2-permejo" TargetMode="External"/><Relationship Id="rId33" Type="http://schemas.openxmlformats.org/officeDocument/2006/relationships/hyperlink" Target="https://github.com/Quebada-1CPE-A/cpp102-week2-quebada" TargetMode="External"/><Relationship Id="rId34" Type="http://schemas.openxmlformats.org/officeDocument/2006/relationships/hyperlink" Target="https://github.com/jedlynross/cpp102-week2-quejada.git" TargetMode="External"/><Relationship Id="rId35" Type="http://schemas.openxmlformats.org/officeDocument/2006/relationships/hyperlink" Target="https://github.com/dylanramos09096-oss/CPP-102-WEEK2-Ramos" TargetMode="External"/><Relationship Id="rId36" Type="http://schemas.openxmlformats.org/officeDocument/2006/relationships/hyperlink" Target="https://github.com/vinyorr/cpp102-week2-rodriguez" TargetMode="External"/><Relationship Id="rId37" Type="http://schemas.openxmlformats.org/officeDocument/2006/relationships/hyperlink" Target="https://github.com/PDBVelasco/cpp102-week2-Velasco.git" TargetMode="External"/><Relationship Id="rId38" Type="http://schemas.openxmlformats.org/officeDocument/2006/relationships/hyperlink" Target="https://github.com/paulyaldua168-coder/cpp102-week2-yaldua" TargetMode="External"/><Relationship Id="rId3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5"/>
  <sheetViews>
    <sheetView showFormulas="false" showGridLines="true" showRowColHeaders="true" showZeros="true" rightToLeft="false" tabSelected="true" showOutlineSymbols="true" defaultGridColor="true" view="normal" topLeftCell="A26" colorId="64" zoomScale="150" zoomScaleNormal="150" zoomScalePageLayoutView="100" workbookViewId="0">
      <pane xSplit="0" ySplit="1" topLeftCell="A2" activePane="bottomLeft" state="frozen"/>
      <selection pane="topLeft" activeCell="A26" activeCellId="0" sqref="A26"/>
      <selection pane="bottomLeft" activeCell="D41" activeCellId="0" sqref="D41"/>
    </sheetView>
  </sheetViews>
  <sheetFormatPr defaultColWidth="10.4921875" defaultRowHeight="15.75" customHeight="false" zeroHeight="false" outlineLevelRow="0" outlineLevelCol="0"/>
  <cols>
    <col collapsed="false" customWidth="true" hidden="false" outlineLevel="0" max="1" min="1" style="1" width="8.33"/>
    <col collapsed="false" customWidth="true" hidden="false" outlineLevel="0" max="2" min="2" style="1" width="13"/>
    <col collapsed="false" customWidth="true" hidden="false" outlineLevel="0" max="3" min="3" style="1" width="39"/>
    <col collapsed="false" customWidth="true" hidden="false" outlineLevel="0" max="4" min="4" style="1" width="66"/>
    <col collapsed="false" customWidth="true" hidden="false" outlineLevel="0" max="5" min="5" style="1" width="16"/>
    <col collapsed="false" customWidth="true" hidden="false" outlineLevel="0" max="6" min="6" style="1" width="15"/>
    <col collapsed="false" customWidth="true" hidden="false" outlineLevel="0" max="7" min="7" style="1" width="32"/>
    <col collapsed="false" customWidth="true" hidden="false" outlineLevel="0" max="8" min="8" style="1" width="38"/>
    <col collapsed="false" customWidth="true" hidden="false" outlineLevel="0" max="9" min="9" style="1" width="34"/>
    <col collapsed="false" customWidth="true" hidden="false" outlineLevel="0" max="11" min="10" style="1" width="16"/>
    <col collapsed="false" customWidth="true" hidden="false" outlineLevel="0" max="14" min="12" style="1" width="17"/>
    <col collapsed="false" customWidth="true" hidden="false" outlineLevel="0" max="15" min="15" style="1" width="18"/>
    <col collapsed="false" customWidth="true" hidden="false" outlineLevel="0" max="16" min="16" style="1" width="12"/>
    <col collapsed="false" customWidth="true" hidden="false" outlineLevel="0" max="17" min="17" style="1" width="9"/>
    <col collapsed="false" customWidth="true" hidden="false" outlineLevel="0" max="18" min="18" style="1" width="65"/>
    <col collapsed="false" customWidth="true" hidden="false" outlineLevel="0" max="19" min="19" style="1" width="14"/>
  </cols>
  <sheetData>
    <row r="1" customFormat="false" ht="15.75" hidden="false" customHeight="true" outlineLevel="0" collapsed="false">
      <c r="A1" s="2" t="s">
        <v>0</v>
      </c>
      <c r="B1" s="2" t="s">
        <v>1</v>
      </c>
      <c r="C1" s="2" t="s">
        <v>2</v>
      </c>
      <c r="D1" s="2"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customFormat="false" ht="75" hidden="false" customHeight="true" outlineLevel="0" collapsed="false">
      <c r="A2" s="4" t="n">
        <v>1</v>
      </c>
      <c r="B2" s="5" t="n">
        <v>2600406</v>
      </c>
      <c r="C2" s="5" t="s">
        <v>19</v>
      </c>
      <c r="D2" s="6" t="s">
        <v>20</v>
      </c>
      <c r="E2" s="7" t="s">
        <v>21</v>
      </c>
      <c r="F2" s="7" t="s">
        <v>22</v>
      </c>
      <c r="G2" s="7" t="s">
        <v>23</v>
      </c>
      <c r="H2" s="7" t="s">
        <v>24</v>
      </c>
      <c r="I2" s="7" t="s">
        <v>25</v>
      </c>
      <c r="J2" s="7" t="n">
        <v>15</v>
      </c>
      <c r="K2" s="7" t="n">
        <v>19</v>
      </c>
      <c r="L2" s="7" t="n">
        <v>19</v>
      </c>
      <c r="M2" s="7" t="n">
        <v>24</v>
      </c>
      <c r="N2" s="7" t="n">
        <v>3</v>
      </c>
      <c r="O2" s="7" t="n">
        <v>10</v>
      </c>
      <c r="P2" s="7" t="n">
        <v>90</v>
      </c>
      <c r="Q2" s="8" t="n">
        <v>1.5</v>
      </c>
      <c r="R2" s="9" t="s">
        <v>26</v>
      </c>
      <c r="S2" s="7" t="s">
        <v>27</v>
      </c>
    </row>
    <row r="3" customFormat="false" ht="75" hidden="false" customHeight="true" outlineLevel="0" collapsed="false">
      <c r="A3" s="2" t="n">
        <v>2</v>
      </c>
      <c r="B3" s="10" t="n">
        <v>2601299</v>
      </c>
      <c r="C3" s="10" t="s">
        <v>28</v>
      </c>
      <c r="D3" s="11" t="s">
        <v>29</v>
      </c>
      <c r="E3" s="12" t="s">
        <v>21</v>
      </c>
      <c r="F3" s="12" t="s">
        <v>22</v>
      </c>
      <c r="G3" s="12" t="s">
        <v>30</v>
      </c>
      <c r="H3" s="12" t="s">
        <v>31</v>
      </c>
      <c r="I3" s="12" t="s">
        <v>32</v>
      </c>
      <c r="J3" s="12" t="n">
        <v>9</v>
      </c>
      <c r="K3" s="12" t="n">
        <v>13</v>
      </c>
      <c r="L3" s="12" t="n">
        <v>10</v>
      </c>
      <c r="M3" s="12" t="n">
        <v>14</v>
      </c>
      <c r="N3" s="12" t="n">
        <v>1</v>
      </c>
      <c r="O3" s="12" t="n">
        <v>8</v>
      </c>
      <c r="P3" s="12" t="n">
        <v>55</v>
      </c>
      <c r="Q3" s="13" t="n">
        <v>5</v>
      </c>
      <c r="R3" s="14" t="s">
        <v>33</v>
      </c>
      <c r="S3" s="12" t="s">
        <v>34</v>
      </c>
    </row>
    <row r="4" customFormat="false" ht="75" hidden="false" customHeight="true" outlineLevel="0" collapsed="false">
      <c r="A4" s="2" t="n">
        <v>3</v>
      </c>
      <c r="B4" s="10" t="n">
        <v>2002650</v>
      </c>
      <c r="C4" s="10" t="s">
        <v>35</v>
      </c>
      <c r="D4" s="11" t="s">
        <v>36</v>
      </c>
      <c r="E4" s="12" t="s">
        <v>21</v>
      </c>
      <c r="F4" s="12" t="s">
        <v>37</v>
      </c>
      <c r="G4" s="12" t="s">
        <v>38</v>
      </c>
      <c r="H4" s="12" t="s">
        <v>39</v>
      </c>
      <c r="I4" s="12" t="s">
        <v>40</v>
      </c>
      <c r="J4" s="12" t="n">
        <v>12</v>
      </c>
      <c r="K4" s="12" t="n">
        <v>15</v>
      </c>
      <c r="L4" s="12" t="n">
        <v>17</v>
      </c>
      <c r="M4" s="12" t="n">
        <v>16</v>
      </c>
      <c r="N4" s="12" t="n">
        <v>0</v>
      </c>
      <c r="O4" s="12" t="n">
        <v>1</v>
      </c>
      <c r="P4" s="12" t="n">
        <v>61</v>
      </c>
      <c r="Q4" s="13" t="n">
        <v>3</v>
      </c>
      <c r="R4" s="14" t="s">
        <v>41</v>
      </c>
      <c r="S4" s="12" t="s">
        <v>34</v>
      </c>
    </row>
    <row r="5" customFormat="false" ht="75" hidden="false" customHeight="true" outlineLevel="0" collapsed="false">
      <c r="A5" s="2" t="n">
        <v>4</v>
      </c>
      <c r="B5" s="10" t="n">
        <v>2601345</v>
      </c>
      <c r="C5" s="10" t="s">
        <v>42</v>
      </c>
      <c r="D5" s="11" t="s">
        <v>43</v>
      </c>
      <c r="E5" s="12" t="s">
        <v>21</v>
      </c>
      <c r="F5" s="12" t="s">
        <v>22</v>
      </c>
      <c r="G5" s="12" t="s">
        <v>44</v>
      </c>
      <c r="H5" s="12" t="s">
        <v>45</v>
      </c>
      <c r="I5" s="12" t="s">
        <v>46</v>
      </c>
      <c r="J5" s="12" t="n">
        <v>11</v>
      </c>
      <c r="K5" s="12" t="n">
        <v>15</v>
      </c>
      <c r="L5" s="12" t="n">
        <v>11</v>
      </c>
      <c r="M5" s="12" t="n">
        <v>13</v>
      </c>
      <c r="N5" s="12" t="n">
        <v>1</v>
      </c>
      <c r="O5" s="12" t="n">
        <v>10</v>
      </c>
      <c r="P5" s="12" t="n">
        <v>61</v>
      </c>
      <c r="Q5" s="13" t="n">
        <v>3</v>
      </c>
      <c r="R5" s="14" t="s">
        <v>47</v>
      </c>
      <c r="S5" s="12" t="s">
        <v>34</v>
      </c>
    </row>
    <row r="6" customFormat="false" ht="75" hidden="false" customHeight="true" outlineLevel="0" collapsed="false">
      <c r="A6" s="2" t="n">
        <v>5</v>
      </c>
      <c r="B6" s="10" t="n">
        <v>2601049</v>
      </c>
      <c r="C6" s="10" t="s">
        <v>48</v>
      </c>
      <c r="D6" s="11" t="s">
        <v>49</v>
      </c>
      <c r="E6" s="12" t="s">
        <v>21</v>
      </c>
      <c r="F6" s="12" t="s">
        <v>22</v>
      </c>
      <c r="G6" s="12" t="s">
        <v>50</v>
      </c>
      <c r="H6" s="12" t="s">
        <v>51</v>
      </c>
      <c r="I6" s="12" t="s">
        <v>52</v>
      </c>
      <c r="J6" s="12" t="n">
        <v>10</v>
      </c>
      <c r="K6" s="12" t="n">
        <v>14</v>
      </c>
      <c r="L6" s="12" t="n">
        <v>14</v>
      </c>
      <c r="M6" s="12" t="n">
        <v>20</v>
      </c>
      <c r="N6" s="12" t="n">
        <v>1</v>
      </c>
      <c r="O6" s="12" t="n">
        <v>7</v>
      </c>
      <c r="P6" s="12" t="n">
        <v>66</v>
      </c>
      <c r="Q6" s="13" t="n">
        <v>2.75</v>
      </c>
      <c r="R6" s="14" t="s">
        <v>53</v>
      </c>
      <c r="S6" s="12" t="s">
        <v>34</v>
      </c>
    </row>
    <row r="7" customFormat="false" ht="75" hidden="false" customHeight="true" outlineLevel="0" collapsed="false">
      <c r="A7" s="2" t="n">
        <v>6</v>
      </c>
      <c r="B7" s="10" t="n">
        <v>2601315</v>
      </c>
      <c r="C7" s="10" t="s">
        <v>54</v>
      </c>
      <c r="D7" s="11" t="s">
        <v>55</v>
      </c>
      <c r="E7" s="12" t="s">
        <v>21</v>
      </c>
      <c r="F7" s="12" t="s">
        <v>22</v>
      </c>
      <c r="G7" s="12" t="s">
        <v>56</v>
      </c>
      <c r="H7" s="12" t="s">
        <v>57</v>
      </c>
      <c r="I7" s="12" t="s">
        <v>58</v>
      </c>
      <c r="J7" s="12" t="n">
        <v>15</v>
      </c>
      <c r="K7" s="12" t="n">
        <v>19</v>
      </c>
      <c r="L7" s="12" t="n">
        <v>19</v>
      </c>
      <c r="M7" s="12" t="n">
        <v>22</v>
      </c>
      <c r="N7" s="12" t="n">
        <v>9</v>
      </c>
      <c r="O7" s="12" t="n">
        <v>10</v>
      </c>
      <c r="P7" s="12" t="n">
        <v>94</v>
      </c>
      <c r="Q7" s="13" t="n">
        <v>1.25</v>
      </c>
      <c r="R7" s="14" t="s">
        <v>59</v>
      </c>
      <c r="S7" s="12" t="s">
        <v>34</v>
      </c>
    </row>
    <row r="8" customFormat="false" ht="75" hidden="false" customHeight="true" outlineLevel="0" collapsed="false">
      <c r="A8" s="2" t="n">
        <v>7</v>
      </c>
      <c r="B8" s="10" t="n">
        <v>2601274</v>
      </c>
      <c r="C8" s="10" t="s">
        <v>60</v>
      </c>
      <c r="D8" s="11" t="s">
        <v>61</v>
      </c>
      <c r="E8" s="12" t="s">
        <v>21</v>
      </c>
      <c r="F8" s="12" t="s">
        <v>22</v>
      </c>
      <c r="G8" s="12" t="s">
        <v>62</v>
      </c>
      <c r="H8" s="12" t="s">
        <v>63</v>
      </c>
      <c r="I8" s="12" t="s">
        <v>64</v>
      </c>
      <c r="J8" s="12" t="n">
        <v>10</v>
      </c>
      <c r="K8" s="12" t="n">
        <v>14</v>
      </c>
      <c r="L8" s="12" t="n">
        <v>14</v>
      </c>
      <c r="M8" s="12" t="n">
        <v>20</v>
      </c>
      <c r="N8" s="12" t="n">
        <v>1</v>
      </c>
      <c r="O8" s="12" t="n">
        <v>10</v>
      </c>
      <c r="P8" s="12" t="n">
        <v>69</v>
      </c>
      <c r="Q8" s="13" t="n">
        <v>2.75</v>
      </c>
      <c r="R8" s="14" t="s">
        <v>65</v>
      </c>
      <c r="S8" s="12" t="s">
        <v>34</v>
      </c>
    </row>
    <row r="9" customFormat="false" ht="75" hidden="false" customHeight="true" outlineLevel="0" collapsed="false">
      <c r="A9" s="2" t="n">
        <v>8</v>
      </c>
      <c r="B9" s="10" t="n">
        <v>2600706</v>
      </c>
      <c r="C9" s="10" t="s">
        <v>66</v>
      </c>
      <c r="D9" s="11" t="s">
        <v>67</v>
      </c>
      <c r="E9" s="12" t="s">
        <v>21</v>
      </c>
      <c r="F9" s="12" t="s">
        <v>22</v>
      </c>
      <c r="G9" s="12" t="s">
        <v>68</v>
      </c>
      <c r="H9" s="12" t="s">
        <v>69</v>
      </c>
      <c r="I9" s="12" t="s">
        <v>70</v>
      </c>
      <c r="J9" s="12" t="n">
        <v>9</v>
      </c>
      <c r="K9" s="12" t="n">
        <v>12</v>
      </c>
      <c r="L9" s="12" t="n">
        <v>11</v>
      </c>
      <c r="M9" s="12" t="n">
        <v>18</v>
      </c>
      <c r="N9" s="12" t="n">
        <v>3</v>
      </c>
      <c r="O9" s="12" t="n">
        <v>10</v>
      </c>
      <c r="P9" s="12" t="n">
        <v>63</v>
      </c>
      <c r="Q9" s="13" t="n">
        <v>3</v>
      </c>
      <c r="R9" s="14" t="s">
        <v>71</v>
      </c>
      <c r="S9" s="12" t="s">
        <v>34</v>
      </c>
    </row>
    <row r="10" customFormat="false" ht="75" hidden="false" customHeight="true" outlineLevel="0" collapsed="false">
      <c r="A10" s="2" t="n">
        <v>9</v>
      </c>
      <c r="B10" s="10" t="n">
        <v>2600691</v>
      </c>
      <c r="C10" s="10" t="s">
        <v>72</v>
      </c>
      <c r="D10" s="1" t="s">
        <v>73</v>
      </c>
      <c r="E10" s="12" t="s">
        <v>74</v>
      </c>
      <c r="F10" s="12" t="s">
        <v>75</v>
      </c>
      <c r="G10" s="12" t="s">
        <v>76</v>
      </c>
      <c r="H10" s="12" t="s">
        <v>77</v>
      </c>
      <c r="I10" s="12" t="s">
        <v>78</v>
      </c>
      <c r="J10" s="12" t="n">
        <v>0</v>
      </c>
      <c r="K10" s="12" t="n">
        <v>0</v>
      </c>
      <c r="L10" s="12" t="n">
        <v>0</v>
      </c>
      <c r="M10" s="12" t="n">
        <v>0</v>
      </c>
      <c r="N10" s="12" t="n">
        <v>0</v>
      </c>
      <c r="O10" s="12" t="n">
        <v>0</v>
      </c>
      <c r="P10" s="12" t="n">
        <v>0</v>
      </c>
      <c r="Q10" s="13" t="n">
        <v>5</v>
      </c>
      <c r="R10" s="14" t="s">
        <v>79</v>
      </c>
      <c r="S10" s="12" t="s">
        <v>34</v>
      </c>
    </row>
    <row r="11" customFormat="false" ht="75" hidden="false" customHeight="true" outlineLevel="0" collapsed="false">
      <c r="A11" s="2" t="n">
        <v>10</v>
      </c>
      <c r="B11" s="10" t="n">
        <v>2600401</v>
      </c>
      <c r="C11" s="10" t="s">
        <v>80</v>
      </c>
      <c r="D11" s="11" t="s">
        <v>81</v>
      </c>
      <c r="E11" s="12" t="s">
        <v>21</v>
      </c>
      <c r="F11" s="12" t="s">
        <v>22</v>
      </c>
      <c r="G11" s="12" t="s">
        <v>82</v>
      </c>
      <c r="H11" s="12" t="s">
        <v>83</v>
      </c>
      <c r="I11" s="12" t="s">
        <v>84</v>
      </c>
      <c r="J11" s="12" t="n">
        <v>6</v>
      </c>
      <c r="K11" s="12" t="n">
        <v>10</v>
      </c>
      <c r="L11" s="12" t="n">
        <v>8</v>
      </c>
      <c r="M11" s="12" t="n">
        <v>8</v>
      </c>
      <c r="N11" s="12" t="n">
        <v>1</v>
      </c>
      <c r="O11" s="12" t="n">
        <v>10</v>
      </c>
      <c r="P11" s="12" t="n">
        <v>43</v>
      </c>
      <c r="Q11" s="13" t="n">
        <v>5</v>
      </c>
      <c r="R11" s="14" t="s">
        <v>85</v>
      </c>
      <c r="S11" s="12" t="s">
        <v>34</v>
      </c>
    </row>
    <row r="12" customFormat="false" ht="75" hidden="false" customHeight="true" outlineLevel="0" collapsed="false">
      <c r="A12" s="2" t="n">
        <v>11</v>
      </c>
      <c r="B12" s="10" t="n">
        <v>2600403</v>
      </c>
      <c r="C12" s="10" t="s">
        <v>86</v>
      </c>
      <c r="D12" s="11" t="s">
        <v>87</v>
      </c>
      <c r="E12" s="12" t="s">
        <v>21</v>
      </c>
      <c r="F12" s="12" t="s">
        <v>22</v>
      </c>
      <c r="G12" s="12" t="s">
        <v>88</v>
      </c>
      <c r="H12" s="12" t="s">
        <v>89</v>
      </c>
      <c r="I12" s="12" t="s">
        <v>64</v>
      </c>
      <c r="J12" s="12" t="n">
        <v>10</v>
      </c>
      <c r="K12" s="12" t="n">
        <v>8</v>
      </c>
      <c r="L12" s="12" t="n">
        <v>15</v>
      </c>
      <c r="M12" s="12" t="n">
        <v>22</v>
      </c>
      <c r="N12" s="12" t="n">
        <v>1</v>
      </c>
      <c r="O12" s="12" t="n">
        <v>10</v>
      </c>
      <c r="P12" s="12" t="n">
        <v>66</v>
      </c>
      <c r="Q12" s="13" t="n">
        <v>2.75</v>
      </c>
      <c r="R12" s="14" t="s">
        <v>90</v>
      </c>
      <c r="S12" s="12" t="s">
        <v>34</v>
      </c>
    </row>
    <row r="13" customFormat="false" ht="75" hidden="false" customHeight="true" outlineLevel="0" collapsed="false">
      <c r="A13" s="2" t="n">
        <v>12</v>
      </c>
      <c r="B13" s="10" t="n">
        <v>2601329</v>
      </c>
      <c r="C13" s="10" t="s">
        <v>91</v>
      </c>
      <c r="D13" s="11" t="s">
        <v>92</v>
      </c>
      <c r="E13" s="12" t="s">
        <v>21</v>
      </c>
      <c r="F13" s="12" t="s">
        <v>22</v>
      </c>
      <c r="G13" s="12" t="s">
        <v>93</v>
      </c>
      <c r="H13" s="12" t="s">
        <v>51</v>
      </c>
      <c r="I13" s="12" t="s">
        <v>94</v>
      </c>
      <c r="J13" s="12" t="n">
        <v>11</v>
      </c>
      <c r="K13" s="12" t="n">
        <v>18</v>
      </c>
      <c r="L13" s="12" t="n">
        <v>11</v>
      </c>
      <c r="M13" s="12" t="n">
        <v>22</v>
      </c>
      <c r="N13" s="12" t="n">
        <v>6</v>
      </c>
      <c r="O13" s="12" t="n">
        <v>10</v>
      </c>
      <c r="P13" s="12" t="n">
        <v>78</v>
      </c>
      <c r="Q13" s="13" t="n">
        <v>2.25</v>
      </c>
      <c r="R13" s="14" t="s">
        <v>95</v>
      </c>
      <c r="S13" s="12" t="s">
        <v>34</v>
      </c>
    </row>
    <row r="14" customFormat="false" ht="75" hidden="false" customHeight="true" outlineLevel="0" collapsed="false">
      <c r="A14" s="2" t="n">
        <v>13</v>
      </c>
      <c r="B14" s="10" t="n">
        <v>2600702</v>
      </c>
      <c r="C14" s="10" t="s">
        <v>96</v>
      </c>
      <c r="D14" s="11" t="s">
        <v>97</v>
      </c>
      <c r="E14" s="12" t="s">
        <v>21</v>
      </c>
      <c r="F14" s="12" t="s">
        <v>22</v>
      </c>
      <c r="G14" s="12" t="s">
        <v>98</v>
      </c>
      <c r="H14" s="12" t="s">
        <v>51</v>
      </c>
      <c r="I14" s="12" t="s">
        <v>40</v>
      </c>
      <c r="J14" s="12" t="n">
        <v>15</v>
      </c>
      <c r="K14" s="12" t="n">
        <v>19</v>
      </c>
      <c r="L14" s="12" t="n">
        <v>19</v>
      </c>
      <c r="M14" s="12" t="n">
        <v>23</v>
      </c>
      <c r="N14" s="12" t="n">
        <v>1</v>
      </c>
      <c r="O14" s="12" t="n">
        <v>10</v>
      </c>
      <c r="P14" s="12" t="n">
        <v>87</v>
      </c>
      <c r="Q14" s="13" t="n">
        <v>1.75</v>
      </c>
      <c r="R14" s="14" t="s">
        <v>99</v>
      </c>
      <c r="S14" s="12" t="s">
        <v>34</v>
      </c>
    </row>
    <row r="15" customFormat="false" ht="75" hidden="false" customHeight="true" outlineLevel="0" collapsed="false">
      <c r="A15" s="2" t="n">
        <v>14</v>
      </c>
      <c r="B15" s="10" t="n">
        <v>2601292</v>
      </c>
      <c r="C15" s="10" t="s">
        <v>100</v>
      </c>
      <c r="D15" s="11" t="s">
        <v>101</v>
      </c>
      <c r="E15" s="12" t="s">
        <v>21</v>
      </c>
      <c r="F15" s="12" t="s">
        <v>22</v>
      </c>
      <c r="G15" s="12" t="s">
        <v>102</v>
      </c>
      <c r="H15" s="12" t="s">
        <v>103</v>
      </c>
      <c r="I15" s="12" t="s">
        <v>40</v>
      </c>
      <c r="J15" s="12" t="n">
        <v>15</v>
      </c>
      <c r="K15" s="12" t="n">
        <v>19</v>
      </c>
      <c r="L15" s="12" t="n">
        <v>19</v>
      </c>
      <c r="M15" s="12" t="n">
        <v>23</v>
      </c>
      <c r="N15" s="12" t="n">
        <v>1</v>
      </c>
      <c r="O15" s="12" t="n">
        <v>10</v>
      </c>
      <c r="P15" s="12" t="n">
        <v>87</v>
      </c>
      <c r="Q15" s="13" t="n">
        <v>1.75</v>
      </c>
      <c r="R15" s="14" t="s">
        <v>104</v>
      </c>
      <c r="S15" s="12" t="s">
        <v>34</v>
      </c>
    </row>
    <row r="16" customFormat="false" ht="75" hidden="false" customHeight="true" outlineLevel="0" collapsed="false">
      <c r="A16" s="4" t="n">
        <v>15</v>
      </c>
      <c r="B16" s="5" t="n">
        <v>2601334</v>
      </c>
      <c r="C16" s="5" t="s">
        <v>105</v>
      </c>
      <c r="D16" s="6" t="s">
        <v>106</v>
      </c>
      <c r="E16" s="7" t="s">
        <v>21</v>
      </c>
      <c r="F16" s="7" t="s">
        <v>22</v>
      </c>
      <c r="G16" s="7" t="s">
        <v>107</v>
      </c>
      <c r="H16" s="7" t="s">
        <v>108</v>
      </c>
      <c r="I16" s="7" t="s">
        <v>46</v>
      </c>
      <c r="J16" s="7" t="n">
        <v>5</v>
      </c>
      <c r="K16" s="7" t="n">
        <v>8</v>
      </c>
      <c r="L16" s="7" t="n">
        <v>7</v>
      </c>
      <c r="M16" s="7" t="n">
        <v>8</v>
      </c>
      <c r="N16" s="7" t="n">
        <v>1</v>
      </c>
      <c r="O16" s="7" t="n">
        <v>10</v>
      </c>
      <c r="P16" s="7" t="n">
        <v>39</v>
      </c>
      <c r="Q16" s="8" t="n">
        <v>5</v>
      </c>
      <c r="R16" s="9" t="s">
        <v>109</v>
      </c>
      <c r="S16" s="7" t="s">
        <v>27</v>
      </c>
    </row>
    <row r="17" customFormat="false" ht="75" hidden="false" customHeight="true" outlineLevel="0" collapsed="false">
      <c r="A17" s="4" t="n">
        <v>16</v>
      </c>
      <c r="B17" s="5" t="n">
        <v>2601342</v>
      </c>
      <c r="C17" s="5" t="s">
        <v>110</v>
      </c>
      <c r="D17" s="6" t="s">
        <v>111</v>
      </c>
      <c r="E17" s="7" t="s">
        <v>21</v>
      </c>
      <c r="F17" s="7" t="s">
        <v>22</v>
      </c>
      <c r="G17" s="7" t="s">
        <v>112</v>
      </c>
      <c r="H17" s="7" t="s">
        <v>113</v>
      </c>
      <c r="I17" s="7" t="s">
        <v>32</v>
      </c>
      <c r="J17" s="7" t="n">
        <v>5</v>
      </c>
      <c r="K17" s="7" t="n">
        <v>6</v>
      </c>
      <c r="L17" s="7" t="n">
        <v>7</v>
      </c>
      <c r="M17" s="7" t="n">
        <v>8</v>
      </c>
      <c r="N17" s="7" t="n">
        <v>1</v>
      </c>
      <c r="O17" s="7" t="n">
        <v>10</v>
      </c>
      <c r="P17" s="7" t="n">
        <v>37</v>
      </c>
      <c r="Q17" s="8" t="n">
        <v>5</v>
      </c>
      <c r="R17" s="9" t="s">
        <v>114</v>
      </c>
      <c r="S17" s="7" t="s">
        <v>27</v>
      </c>
    </row>
    <row r="18" customFormat="false" ht="75" hidden="false" customHeight="true" outlineLevel="0" collapsed="false">
      <c r="A18" s="4" t="n">
        <v>17</v>
      </c>
      <c r="B18" s="5" t="n">
        <v>2601306</v>
      </c>
      <c r="C18" s="5" t="s">
        <v>115</v>
      </c>
      <c r="D18" s="6" t="s">
        <v>116</v>
      </c>
      <c r="E18" s="7" t="s">
        <v>21</v>
      </c>
      <c r="F18" s="7" t="s">
        <v>22</v>
      </c>
      <c r="G18" s="7" t="s">
        <v>117</v>
      </c>
      <c r="H18" s="7" t="s">
        <v>51</v>
      </c>
      <c r="I18" s="7" t="s">
        <v>40</v>
      </c>
      <c r="J18" s="7" t="n">
        <v>8</v>
      </c>
      <c r="K18" s="7" t="n">
        <v>11</v>
      </c>
      <c r="L18" s="7" t="n">
        <v>17</v>
      </c>
      <c r="M18" s="7" t="n">
        <v>21</v>
      </c>
      <c r="N18" s="7" t="n">
        <v>1</v>
      </c>
      <c r="O18" s="7" t="n">
        <v>10</v>
      </c>
      <c r="P18" s="7" t="n">
        <v>68</v>
      </c>
      <c r="Q18" s="8" t="n">
        <v>2.75</v>
      </c>
      <c r="R18" s="9" t="s">
        <v>118</v>
      </c>
      <c r="S18" s="7" t="s">
        <v>27</v>
      </c>
    </row>
    <row r="19" customFormat="false" ht="75" hidden="false" customHeight="true" outlineLevel="0" collapsed="false">
      <c r="A19" s="4" t="n">
        <v>18</v>
      </c>
      <c r="B19" s="5" t="n">
        <v>2601278</v>
      </c>
      <c r="C19" s="5" t="s">
        <v>119</v>
      </c>
      <c r="D19" s="6" t="s">
        <v>120</v>
      </c>
      <c r="E19" s="7" t="s">
        <v>21</v>
      </c>
      <c r="F19" s="7" t="s">
        <v>22</v>
      </c>
      <c r="G19" s="7" t="s">
        <v>121</v>
      </c>
      <c r="H19" s="7" t="s">
        <v>51</v>
      </c>
      <c r="I19" s="7" t="s">
        <v>25</v>
      </c>
      <c r="J19" s="7" t="n">
        <v>9</v>
      </c>
      <c r="K19" s="7" t="n">
        <v>12</v>
      </c>
      <c r="L19" s="7" t="n">
        <v>18</v>
      </c>
      <c r="M19" s="7" t="n">
        <v>21</v>
      </c>
      <c r="N19" s="7" t="n">
        <v>9</v>
      </c>
      <c r="O19" s="7" t="n">
        <v>10</v>
      </c>
      <c r="P19" s="7" t="n">
        <v>79</v>
      </c>
      <c r="Q19" s="8" t="n">
        <v>2.25</v>
      </c>
      <c r="R19" s="9" t="s">
        <v>122</v>
      </c>
      <c r="S19" s="7" t="s">
        <v>27</v>
      </c>
    </row>
    <row r="20" customFormat="false" ht="75" hidden="false" customHeight="true" outlineLevel="0" collapsed="false">
      <c r="A20" s="2" t="n">
        <v>19</v>
      </c>
      <c r="B20" s="10" t="n">
        <v>2600709</v>
      </c>
      <c r="C20" s="10" t="s">
        <v>123</v>
      </c>
      <c r="D20" s="11" t="s">
        <v>124</v>
      </c>
      <c r="E20" s="12" t="s">
        <v>21</v>
      </c>
      <c r="F20" s="12" t="s">
        <v>22</v>
      </c>
      <c r="G20" s="12" t="s">
        <v>125</v>
      </c>
      <c r="H20" s="12" t="s">
        <v>126</v>
      </c>
      <c r="I20" s="12" t="s">
        <v>127</v>
      </c>
      <c r="J20" s="12" t="n">
        <v>10</v>
      </c>
      <c r="K20" s="12" t="n">
        <v>10</v>
      </c>
      <c r="L20" s="12" t="n">
        <v>16</v>
      </c>
      <c r="M20" s="12" t="n">
        <v>20</v>
      </c>
      <c r="N20" s="12" t="n">
        <v>1</v>
      </c>
      <c r="O20" s="12" t="n">
        <v>10</v>
      </c>
      <c r="P20" s="12" t="n">
        <v>67</v>
      </c>
      <c r="Q20" s="13" t="n">
        <v>2.75</v>
      </c>
      <c r="R20" s="14" t="s">
        <v>128</v>
      </c>
      <c r="S20" s="12" t="s">
        <v>34</v>
      </c>
    </row>
    <row r="21" customFormat="false" ht="75" hidden="false" customHeight="true" outlineLevel="0" collapsed="false">
      <c r="A21" s="2" t="n">
        <v>20</v>
      </c>
      <c r="B21" s="10" t="n">
        <v>2600718</v>
      </c>
      <c r="C21" s="10" t="s">
        <v>129</v>
      </c>
      <c r="D21" s="11" t="s">
        <v>130</v>
      </c>
      <c r="E21" s="12" t="s">
        <v>21</v>
      </c>
      <c r="F21" s="12" t="s">
        <v>22</v>
      </c>
      <c r="G21" s="12" t="s">
        <v>131</v>
      </c>
      <c r="H21" s="12" t="s">
        <v>132</v>
      </c>
      <c r="I21" s="12" t="s">
        <v>133</v>
      </c>
      <c r="J21" s="12" t="n">
        <v>15</v>
      </c>
      <c r="K21" s="12" t="n">
        <v>19</v>
      </c>
      <c r="L21" s="12" t="n">
        <v>19</v>
      </c>
      <c r="M21" s="12" t="n">
        <v>22</v>
      </c>
      <c r="N21" s="12" t="n">
        <v>10</v>
      </c>
      <c r="O21" s="12" t="n">
        <v>10</v>
      </c>
      <c r="P21" s="12" t="n">
        <v>95</v>
      </c>
      <c r="Q21" s="13" t="n">
        <v>1.25</v>
      </c>
      <c r="R21" s="14" t="s">
        <v>134</v>
      </c>
      <c r="S21" s="12" t="s">
        <v>34</v>
      </c>
    </row>
    <row r="22" customFormat="false" ht="75" hidden="false" customHeight="true" outlineLevel="0" collapsed="false">
      <c r="A22" s="2" t="n">
        <v>21</v>
      </c>
      <c r="B22" s="10" t="n">
        <v>2601305</v>
      </c>
      <c r="C22" s="10" t="s">
        <v>135</v>
      </c>
      <c r="D22" s="11" t="s">
        <v>136</v>
      </c>
      <c r="E22" s="12" t="s">
        <v>21</v>
      </c>
      <c r="F22" s="12" t="s">
        <v>22</v>
      </c>
      <c r="G22" s="12" t="s">
        <v>137</v>
      </c>
      <c r="H22" s="12" t="s">
        <v>138</v>
      </c>
      <c r="I22" s="12" t="s">
        <v>40</v>
      </c>
      <c r="J22" s="12" t="n">
        <v>13</v>
      </c>
      <c r="K22" s="12" t="n">
        <v>17</v>
      </c>
      <c r="L22" s="12" t="n">
        <v>15</v>
      </c>
      <c r="M22" s="12" t="n">
        <v>21</v>
      </c>
      <c r="N22" s="12" t="n">
        <v>1</v>
      </c>
      <c r="O22" s="12" t="n">
        <v>10</v>
      </c>
      <c r="P22" s="12" t="n">
        <v>77</v>
      </c>
      <c r="Q22" s="13" t="n">
        <v>2.25</v>
      </c>
      <c r="R22" s="14" t="s">
        <v>139</v>
      </c>
      <c r="S22" s="12" t="s">
        <v>34</v>
      </c>
    </row>
    <row r="23" customFormat="false" ht="75" hidden="false" customHeight="true" outlineLevel="0" collapsed="false">
      <c r="A23" s="2" t="n">
        <v>22</v>
      </c>
      <c r="B23" s="10" t="n">
        <v>2601270</v>
      </c>
      <c r="C23" s="10" t="s">
        <v>140</v>
      </c>
      <c r="D23" s="11" t="s">
        <v>141</v>
      </c>
      <c r="E23" s="12" t="s">
        <v>21</v>
      </c>
      <c r="F23" s="12" t="s">
        <v>22</v>
      </c>
      <c r="G23" s="12" t="s">
        <v>142</v>
      </c>
      <c r="H23" s="12" t="s">
        <v>132</v>
      </c>
      <c r="I23" s="12" t="s">
        <v>143</v>
      </c>
      <c r="J23" s="12" t="n">
        <v>11</v>
      </c>
      <c r="K23" s="12" t="n">
        <v>18</v>
      </c>
      <c r="L23" s="12" t="n">
        <v>13</v>
      </c>
      <c r="M23" s="12" t="n">
        <v>19</v>
      </c>
      <c r="N23" s="12" t="n">
        <v>1</v>
      </c>
      <c r="O23" s="12" t="n">
        <v>10</v>
      </c>
      <c r="P23" s="12" t="n">
        <v>72</v>
      </c>
      <c r="Q23" s="13" t="n">
        <v>2.5</v>
      </c>
      <c r="R23" s="14" t="s">
        <v>144</v>
      </c>
      <c r="S23" s="12" t="s">
        <v>34</v>
      </c>
    </row>
    <row r="24" customFormat="false" ht="75" hidden="false" customHeight="true" outlineLevel="0" collapsed="false">
      <c r="A24" s="4" t="n">
        <v>23</v>
      </c>
      <c r="B24" s="5" t="n">
        <v>2600737</v>
      </c>
      <c r="C24" s="5" t="s">
        <v>145</v>
      </c>
      <c r="D24" s="6" t="s">
        <v>146</v>
      </c>
      <c r="E24" s="7" t="s">
        <v>21</v>
      </c>
      <c r="F24" s="7" t="s">
        <v>22</v>
      </c>
      <c r="G24" s="7" t="s">
        <v>147</v>
      </c>
      <c r="H24" s="7" t="s">
        <v>148</v>
      </c>
      <c r="I24" s="7" t="s">
        <v>94</v>
      </c>
      <c r="J24" s="7" t="n">
        <v>13</v>
      </c>
      <c r="K24" s="7" t="n">
        <v>18</v>
      </c>
      <c r="L24" s="7" t="n">
        <v>17</v>
      </c>
      <c r="M24" s="7" t="n">
        <v>3</v>
      </c>
      <c r="N24" s="7" t="n">
        <v>6</v>
      </c>
      <c r="O24" s="7" t="n">
        <v>10</v>
      </c>
      <c r="P24" s="7" t="n">
        <v>67</v>
      </c>
      <c r="Q24" s="8" t="n">
        <v>2.75</v>
      </c>
      <c r="R24" s="9" t="s">
        <v>149</v>
      </c>
      <c r="S24" s="7" t="s">
        <v>27</v>
      </c>
    </row>
    <row r="25" customFormat="false" ht="75" hidden="false" customHeight="true" outlineLevel="0" collapsed="false">
      <c r="A25" s="2" t="n">
        <v>24</v>
      </c>
      <c r="B25" s="10" t="n">
        <v>2601168</v>
      </c>
      <c r="C25" s="10" t="s">
        <v>150</v>
      </c>
      <c r="D25" s="11" t="s">
        <v>151</v>
      </c>
      <c r="E25" s="12" t="s">
        <v>21</v>
      </c>
      <c r="F25" s="12" t="s">
        <v>22</v>
      </c>
      <c r="G25" s="12" t="s">
        <v>152</v>
      </c>
      <c r="H25" s="12" t="s">
        <v>153</v>
      </c>
      <c r="I25" s="12" t="s">
        <v>154</v>
      </c>
      <c r="J25" s="12" t="n">
        <v>13</v>
      </c>
      <c r="K25" s="12" t="n">
        <v>18</v>
      </c>
      <c r="L25" s="12" t="n">
        <v>15</v>
      </c>
      <c r="M25" s="12" t="n">
        <v>19</v>
      </c>
      <c r="N25" s="12" t="n">
        <v>1</v>
      </c>
      <c r="O25" s="12" t="n">
        <v>10</v>
      </c>
      <c r="P25" s="12" t="n">
        <v>76</v>
      </c>
      <c r="Q25" s="13" t="n">
        <v>2.25</v>
      </c>
      <c r="R25" s="14" t="s">
        <v>155</v>
      </c>
      <c r="S25" s="12" t="s">
        <v>34</v>
      </c>
    </row>
    <row r="26" customFormat="false" ht="75" hidden="false" customHeight="true" outlineLevel="0" collapsed="false">
      <c r="A26" s="2" t="n">
        <v>25</v>
      </c>
      <c r="B26" s="10" t="n">
        <v>2600690</v>
      </c>
      <c r="C26" s="10" t="s">
        <v>156</v>
      </c>
      <c r="D26" s="11" t="s">
        <v>157</v>
      </c>
      <c r="E26" s="12" t="s">
        <v>21</v>
      </c>
      <c r="F26" s="12" t="s">
        <v>22</v>
      </c>
      <c r="G26" s="12" t="s">
        <v>158</v>
      </c>
      <c r="H26" s="12" t="s">
        <v>159</v>
      </c>
      <c r="I26" s="12" t="s">
        <v>160</v>
      </c>
      <c r="J26" s="12" t="n">
        <v>15</v>
      </c>
      <c r="K26" s="12" t="n">
        <v>19</v>
      </c>
      <c r="L26" s="12" t="n">
        <v>19</v>
      </c>
      <c r="M26" s="12" t="n">
        <v>19</v>
      </c>
      <c r="N26" s="12" t="n">
        <v>6</v>
      </c>
      <c r="O26" s="12" t="n">
        <v>10</v>
      </c>
      <c r="P26" s="12" t="n">
        <v>88</v>
      </c>
      <c r="Q26" s="13" t="n">
        <v>1.5</v>
      </c>
      <c r="R26" s="14" t="s">
        <v>161</v>
      </c>
      <c r="S26" s="12" t="s">
        <v>34</v>
      </c>
    </row>
    <row r="27" customFormat="false" ht="75" hidden="false" customHeight="true" outlineLevel="0" collapsed="false">
      <c r="A27" s="2" t="n">
        <v>26</v>
      </c>
      <c r="B27" s="10" t="n">
        <v>2600407</v>
      </c>
      <c r="C27" s="10" t="s">
        <v>162</v>
      </c>
      <c r="D27" s="1" t="s">
        <v>73</v>
      </c>
      <c r="E27" s="12" t="s">
        <v>74</v>
      </c>
      <c r="F27" s="12" t="s">
        <v>75</v>
      </c>
      <c r="G27" s="12" t="s">
        <v>76</v>
      </c>
      <c r="H27" s="12" t="s">
        <v>77</v>
      </c>
      <c r="I27" s="12" t="s">
        <v>78</v>
      </c>
      <c r="J27" s="12" t="n">
        <v>0</v>
      </c>
      <c r="K27" s="12" t="n">
        <v>0</v>
      </c>
      <c r="L27" s="12" t="n">
        <v>0</v>
      </c>
      <c r="M27" s="12" t="n">
        <v>0</v>
      </c>
      <c r="N27" s="12" t="n">
        <v>0</v>
      </c>
      <c r="O27" s="12" t="n">
        <v>0</v>
      </c>
      <c r="P27" s="12" t="n">
        <v>0</v>
      </c>
      <c r="Q27" s="13" t="n">
        <v>5</v>
      </c>
      <c r="R27" s="14" t="s">
        <v>79</v>
      </c>
      <c r="S27" s="12" t="s">
        <v>34</v>
      </c>
    </row>
    <row r="28" customFormat="false" ht="75" hidden="false" customHeight="true" outlineLevel="0" collapsed="false">
      <c r="A28" s="2" t="n">
        <v>27</v>
      </c>
      <c r="B28" s="10" t="n">
        <v>2601169</v>
      </c>
      <c r="C28" s="10" t="s">
        <v>163</v>
      </c>
      <c r="D28" s="11" t="s">
        <v>164</v>
      </c>
      <c r="E28" s="12" t="s">
        <v>21</v>
      </c>
      <c r="F28" s="12" t="s">
        <v>37</v>
      </c>
      <c r="G28" s="12" t="s">
        <v>165</v>
      </c>
      <c r="H28" s="12" t="s">
        <v>166</v>
      </c>
      <c r="I28" s="12" t="s">
        <v>40</v>
      </c>
      <c r="J28" s="12" t="n">
        <v>10</v>
      </c>
      <c r="K28" s="12" t="n">
        <v>17</v>
      </c>
      <c r="L28" s="12" t="n">
        <v>17</v>
      </c>
      <c r="M28" s="12" t="n">
        <v>13</v>
      </c>
      <c r="N28" s="12" t="n">
        <v>1</v>
      </c>
      <c r="O28" s="12" t="n">
        <v>1</v>
      </c>
      <c r="P28" s="12" t="n">
        <v>59</v>
      </c>
      <c r="Q28" s="13" t="n">
        <v>5</v>
      </c>
      <c r="R28" s="14" t="s">
        <v>167</v>
      </c>
      <c r="S28" s="12" t="s">
        <v>34</v>
      </c>
    </row>
    <row r="29" customFormat="false" ht="75" hidden="false" customHeight="true" outlineLevel="0" collapsed="false">
      <c r="A29" s="2" t="n">
        <v>28</v>
      </c>
      <c r="B29" s="10" t="n">
        <v>2600630</v>
      </c>
      <c r="C29" s="10" t="s">
        <v>168</v>
      </c>
      <c r="D29" s="11" t="s">
        <v>169</v>
      </c>
      <c r="E29" s="12" t="s">
        <v>21</v>
      </c>
      <c r="F29" s="12" t="s">
        <v>37</v>
      </c>
      <c r="G29" s="12" t="s">
        <v>170</v>
      </c>
      <c r="H29" s="12" t="s">
        <v>171</v>
      </c>
      <c r="I29" s="12" t="s">
        <v>40</v>
      </c>
      <c r="J29" s="12" t="n">
        <v>5</v>
      </c>
      <c r="K29" s="12" t="n">
        <v>7</v>
      </c>
      <c r="L29" s="12" t="n">
        <v>12</v>
      </c>
      <c r="M29" s="12" t="n">
        <v>10</v>
      </c>
      <c r="N29" s="12" t="n">
        <v>1</v>
      </c>
      <c r="O29" s="12" t="n">
        <v>1</v>
      </c>
      <c r="P29" s="12" t="n">
        <v>36</v>
      </c>
      <c r="Q29" s="13" t="n">
        <v>5</v>
      </c>
      <c r="R29" s="14" t="s">
        <v>172</v>
      </c>
      <c r="S29" s="12" t="s">
        <v>34</v>
      </c>
    </row>
    <row r="30" customFormat="false" ht="75" hidden="false" customHeight="true" outlineLevel="0" collapsed="false">
      <c r="A30" s="4" t="n">
        <v>29</v>
      </c>
      <c r="B30" s="5" t="n">
        <v>2600625</v>
      </c>
      <c r="C30" s="5" t="s">
        <v>173</v>
      </c>
      <c r="D30" s="6" t="s">
        <v>174</v>
      </c>
      <c r="E30" s="7" t="s">
        <v>21</v>
      </c>
      <c r="F30" s="7" t="s">
        <v>37</v>
      </c>
      <c r="G30" s="7" t="s">
        <v>175</v>
      </c>
      <c r="H30" s="7" t="s">
        <v>176</v>
      </c>
      <c r="I30" s="7" t="s">
        <v>58</v>
      </c>
      <c r="J30" s="7" t="n">
        <v>8</v>
      </c>
      <c r="K30" s="7" t="n">
        <v>13</v>
      </c>
      <c r="L30" s="7" t="n">
        <v>11</v>
      </c>
      <c r="M30" s="7" t="n">
        <v>8</v>
      </c>
      <c r="N30" s="7" t="n">
        <v>3</v>
      </c>
      <c r="O30" s="7" t="n">
        <v>1</v>
      </c>
      <c r="P30" s="7" t="n">
        <v>44</v>
      </c>
      <c r="Q30" s="8" t="n">
        <v>5</v>
      </c>
      <c r="R30" s="9" t="s">
        <v>177</v>
      </c>
      <c r="S30" s="7" t="s">
        <v>27</v>
      </c>
    </row>
    <row r="31" customFormat="false" ht="75" hidden="false" customHeight="true" outlineLevel="0" collapsed="false">
      <c r="A31" s="2" t="n">
        <v>30</v>
      </c>
      <c r="B31" s="10" t="n">
        <v>2600707</v>
      </c>
      <c r="C31" s="10" t="s">
        <v>178</v>
      </c>
      <c r="D31" s="1" t="s">
        <v>73</v>
      </c>
      <c r="E31" s="12" t="s">
        <v>74</v>
      </c>
      <c r="F31" s="12" t="s">
        <v>75</v>
      </c>
      <c r="G31" s="12" t="s">
        <v>76</v>
      </c>
      <c r="H31" s="12" t="s">
        <v>77</v>
      </c>
      <c r="I31" s="12" t="s">
        <v>78</v>
      </c>
      <c r="J31" s="12" t="n">
        <v>0</v>
      </c>
      <c r="K31" s="12" t="n">
        <v>0</v>
      </c>
      <c r="L31" s="12" t="n">
        <v>0</v>
      </c>
      <c r="M31" s="12" t="n">
        <v>0</v>
      </c>
      <c r="N31" s="12" t="n">
        <v>0</v>
      </c>
      <c r="O31" s="12" t="n">
        <v>0</v>
      </c>
      <c r="P31" s="12" t="n">
        <v>0</v>
      </c>
      <c r="Q31" s="13" t="n">
        <v>5</v>
      </c>
      <c r="R31" s="14" t="s">
        <v>79</v>
      </c>
      <c r="S31" s="12" t="s">
        <v>34</v>
      </c>
    </row>
    <row r="32" customFormat="false" ht="75" hidden="false" customHeight="true" outlineLevel="0" collapsed="false">
      <c r="A32" s="2" t="n">
        <v>31</v>
      </c>
      <c r="B32" s="10" t="n">
        <v>2601319</v>
      </c>
      <c r="C32" s="10" t="s">
        <v>179</v>
      </c>
      <c r="D32" s="11" t="s">
        <v>180</v>
      </c>
      <c r="E32" s="12" t="s">
        <v>21</v>
      </c>
      <c r="F32" s="12" t="s">
        <v>22</v>
      </c>
      <c r="G32" s="12" t="s">
        <v>181</v>
      </c>
      <c r="H32" s="12" t="s">
        <v>182</v>
      </c>
      <c r="I32" s="12" t="s">
        <v>183</v>
      </c>
      <c r="J32" s="12" t="n">
        <v>10</v>
      </c>
      <c r="K32" s="12" t="n">
        <v>17</v>
      </c>
      <c r="L32" s="12" t="n">
        <v>4</v>
      </c>
      <c r="M32" s="12" t="n">
        <v>2</v>
      </c>
      <c r="N32" s="12" t="n">
        <v>1</v>
      </c>
      <c r="O32" s="12" t="n">
        <v>10</v>
      </c>
      <c r="P32" s="12" t="n">
        <v>44</v>
      </c>
      <c r="Q32" s="13" t="n">
        <v>5</v>
      </c>
      <c r="R32" s="14" t="s">
        <v>184</v>
      </c>
      <c r="S32" s="12" t="s">
        <v>34</v>
      </c>
    </row>
    <row r="33" customFormat="false" ht="75" hidden="false" customHeight="true" outlineLevel="0" collapsed="false">
      <c r="A33" s="2" t="n">
        <v>32</v>
      </c>
      <c r="B33" s="10" t="n">
        <v>2601267</v>
      </c>
      <c r="C33" s="10" t="s">
        <v>185</v>
      </c>
      <c r="D33" s="11" t="s">
        <v>186</v>
      </c>
      <c r="E33" s="12" t="s">
        <v>21</v>
      </c>
      <c r="F33" s="12" t="s">
        <v>22</v>
      </c>
      <c r="G33" s="12" t="s">
        <v>187</v>
      </c>
      <c r="H33" s="12" t="s">
        <v>188</v>
      </c>
      <c r="I33" s="12" t="s">
        <v>189</v>
      </c>
      <c r="J33" s="12" t="n">
        <v>14</v>
      </c>
      <c r="K33" s="12" t="n">
        <v>18</v>
      </c>
      <c r="L33" s="12" t="n">
        <v>18</v>
      </c>
      <c r="M33" s="12" t="n">
        <v>22</v>
      </c>
      <c r="N33" s="12" t="n">
        <v>3</v>
      </c>
      <c r="O33" s="12" t="n">
        <v>10</v>
      </c>
      <c r="P33" s="12" t="n">
        <v>85</v>
      </c>
      <c r="Q33" s="13" t="n">
        <v>1.75</v>
      </c>
      <c r="R33" s="14" t="s">
        <v>190</v>
      </c>
      <c r="S33" s="12" t="s">
        <v>34</v>
      </c>
    </row>
    <row r="34" customFormat="false" ht="75" hidden="false" customHeight="true" outlineLevel="0" collapsed="false">
      <c r="A34" s="2" t="n">
        <v>33</v>
      </c>
      <c r="B34" s="10" t="n">
        <v>2600402</v>
      </c>
      <c r="C34" s="10" t="s">
        <v>191</v>
      </c>
      <c r="D34" s="11" t="s">
        <v>192</v>
      </c>
      <c r="E34" s="12" t="s">
        <v>21</v>
      </c>
      <c r="F34" s="12" t="s">
        <v>22</v>
      </c>
      <c r="G34" s="12" t="s">
        <v>193</v>
      </c>
      <c r="H34" s="12" t="s">
        <v>194</v>
      </c>
      <c r="I34" s="12" t="s">
        <v>195</v>
      </c>
      <c r="J34" s="12" t="n">
        <v>14</v>
      </c>
      <c r="K34" s="12" t="n">
        <v>19</v>
      </c>
      <c r="L34" s="12" t="n">
        <v>19</v>
      </c>
      <c r="M34" s="12" t="n">
        <v>21</v>
      </c>
      <c r="N34" s="12" t="n">
        <v>3</v>
      </c>
      <c r="O34" s="12" t="n">
        <v>10</v>
      </c>
      <c r="P34" s="12" t="n">
        <v>86</v>
      </c>
      <c r="Q34" s="13" t="n">
        <v>1.75</v>
      </c>
      <c r="R34" s="14" t="s">
        <v>196</v>
      </c>
      <c r="S34" s="12" t="s">
        <v>34</v>
      </c>
    </row>
    <row r="35" customFormat="false" ht="75" hidden="false" customHeight="true" outlineLevel="0" collapsed="false">
      <c r="A35" s="2" t="n">
        <v>34</v>
      </c>
      <c r="B35" s="10" t="n">
        <v>2600763</v>
      </c>
      <c r="C35" s="10" t="s">
        <v>197</v>
      </c>
      <c r="D35" s="1" t="s">
        <v>73</v>
      </c>
      <c r="E35" s="12" t="s">
        <v>74</v>
      </c>
      <c r="F35" s="12" t="s">
        <v>75</v>
      </c>
      <c r="G35" s="12" t="s">
        <v>76</v>
      </c>
      <c r="H35" s="12" t="s">
        <v>77</v>
      </c>
      <c r="I35" s="12" t="s">
        <v>78</v>
      </c>
      <c r="J35" s="12" t="n">
        <v>0</v>
      </c>
      <c r="K35" s="12" t="n">
        <v>0</v>
      </c>
      <c r="L35" s="12" t="n">
        <v>0</v>
      </c>
      <c r="M35" s="12" t="n">
        <v>0</v>
      </c>
      <c r="N35" s="12" t="n">
        <v>0</v>
      </c>
      <c r="O35" s="12" t="n">
        <v>0</v>
      </c>
      <c r="P35" s="12" t="n">
        <v>0</v>
      </c>
      <c r="Q35" s="13" t="n">
        <v>5</v>
      </c>
      <c r="R35" s="14" t="s">
        <v>79</v>
      </c>
      <c r="S35" s="12" t="s">
        <v>34</v>
      </c>
    </row>
    <row r="36" customFormat="false" ht="75" hidden="false" customHeight="true" outlineLevel="0" collapsed="false">
      <c r="A36" s="2" t="n">
        <v>35</v>
      </c>
      <c r="B36" s="10" t="n">
        <v>2600697</v>
      </c>
      <c r="C36" s="10" t="s">
        <v>198</v>
      </c>
      <c r="D36" s="11" t="s">
        <v>199</v>
      </c>
      <c r="E36" s="12" t="s">
        <v>21</v>
      </c>
      <c r="F36" s="12" t="s">
        <v>22</v>
      </c>
      <c r="G36" s="12" t="s">
        <v>200</v>
      </c>
      <c r="H36" s="12" t="s">
        <v>51</v>
      </c>
      <c r="I36" s="12" t="s">
        <v>201</v>
      </c>
      <c r="J36" s="12" t="n">
        <v>15</v>
      </c>
      <c r="K36" s="12" t="n">
        <v>19</v>
      </c>
      <c r="L36" s="12" t="n">
        <v>19</v>
      </c>
      <c r="M36" s="12" t="n">
        <v>23</v>
      </c>
      <c r="N36" s="12" t="n">
        <v>10</v>
      </c>
      <c r="O36" s="12" t="n">
        <v>10</v>
      </c>
      <c r="P36" s="12" t="n">
        <v>96</v>
      </c>
      <c r="Q36" s="13" t="n">
        <v>1</v>
      </c>
      <c r="R36" s="14" t="s">
        <v>202</v>
      </c>
      <c r="S36" s="12" t="s">
        <v>34</v>
      </c>
    </row>
    <row r="37" customFormat="false" ht="75" hidden="false" customHeight="true" outlineLevel="0" collapsed="false">
      <c r="A37" s="2" t="n">
        <v>36</v>
      </c>
      <c r="B37" s="10" t="n">
        <v>2600396</v>
      </c>
      <c r="C37" s="10" t="s">
        <v>203</v>
      </c>
      <c r="D37" s="11" t="s">
        <v>204</v>
      </c>
      <c r="E37" s="12" t="s">
        <v>21</v>
      </c>
      <c r="F37" s="12" t="s">
        <v>22</v>
      </c>
      <c r="G37" s="12" t="s">
        <v>205</v>
      </c>
      <c r="H37" s="12" t="s">
        <v>206</v>
      </c>
      <c r="I37" s="12" t="s">
        <v>183</v>
      </c>
      <c r="J37" s="12" t="n">
        <v>8</v>
      </c>
      <c r="K37" s="12" t="n">
        <v>10</v>
      </c>
      <c r="L37" s="12" t="n">
        <v>17</v>
      </c>
      <c r="M37" s="12" t="n">
        <v>19</v>
      </c>
      <c r="N37" s="12" t="n">
        <v>3</v>
      </c>
      <c r="O37" s="12" t="n">
        <v>10</v>
      </c>
      <c r="P37" s="12" t="n">
        <v>67</v>
      </c>
      <c r="Q37" s="13" t="n">
        <v>2.75</v>
      </c>
      <c r="R37" s="14" t="s">
        <v>207</v>
      </c>
      <c r="S37" s="12" t="s">
        <v>34</v>
      </c>
    </row>
    <row r="38" customFormat="false" ht="75" hidden="false" customHeight="true" outlineLevel="0" collapsed="false">
      <c r="A38" s="2" t="n">
        <v>37</v>
      </c>
      <c r="B38" s="10" t="n">
        <v>2601337</v>
      </c>
      <c r="C38" s="10" t="s">
        <v>208</v>
      </c>
      <c r="D38" s="11" t="s">
        <v>209</v>
      </c>
      <c r="E38" s="12" t="s">
        <v>21</v>
      </c>
      <c r="F38" s="12" t="s">
        <v>22</v>
      </c>
      <c r="G38" s="12" t="s">
        <v>210</v>
      </c>
      <c r="H38" s="12" t="s">
        <v>211</v>
      </c>
      <c r="I38" s="12" t="s">
        <v>212</v>
      </c>
      <c r="J38" s="12" t="n">
        <v>15</v>
      </c>
      <c r="K38" s="12" t="n">
        <v>19</v>
      </c>
      <c r="L38" s="12" t="n">
        <v>19</v>
      </c>
      <c r="M38" s="12" t="n">
        <v>22</v>
      </c>
      <c r="N38" s="12" t="n">
        <v>3</v>
      </c>
      <c r="O38" s="12" t="n">
        <v>10</v>
      </c>
      <c r="P38" s="12" t="n">
        <v>88</v>
      </c>
      <c r="Q38" s="13" t="n">
        <v>1.5</v>
      </c>
      <c r="R38" s="14" t="s">
        <v>213</v>
      </c>
      <c r="S38" s="12" t="s">
        <v>34</v>
      </c>
    </row>
    <row r="39" customFormat="false" ht="75" hidden="false" customHeight="true" outlineLevel="0" collapsed="false">
      <c r="A39" s="2" t="n">
        <v>38</v>
      </c>
      <c r="B39" s="10" t="n">
        <v>2600681</v>
      </c>
      <c r="C39" s="10" t="s">
        <v>214</v>
      </c>
      <c r="D39" s="11" t="s">
        <v>215</v>
      </c>
      <c r="E39" s="12" t="s">
        <v>21</v>
      </c>
      <c r="F39" s="12" t="s">
        <v>22</v>
      </c>
      <c r="G39" s="12" t="s">
        <v>216</v>
      </c>
      <c r="H39" s="12" t="s">
        <v>51</v>
      </c>
      <c r="I39" s="12" t="s">
        <v>25</v>
      </c>
      <c r="J39" s="12" t="n">
        <v>13</v>
      </c>
      <c r="K39" s="12" t="n">
        <v>18</v>
      </c>
      <c r="L39" s="12" t="n">
        <v>17</v>
      </c>
      <c r="M39" s="12" t="n">
        <v>18</v>
      </c>
      <c r="N39" s="12" t="n">
        <v>9</v>
      </c>
      <c r="O39" s="12" t="n">
        <v>10</v>
      </c>
      <c r="P39" s="12" t="n">
        <v>85</v>
      </c>
      <c r="Q39" s="13" t="n">
        <v>1.75</v>
      </c>
      <c r="R39" s="14" t="s">
        <v>217</v>
      </c>
      <c r="S39" s="12" t="s">
        <v>34</v>
      </c>
    </row>
    <row r="40" customFormat="false" ht="75" hidden="false" customHeight="true" outlineLevel="0" collapsed="false">
      <c r="A40" s="4" t="n">
        <v>39</v>
      </c>
      <c r="B40" s="5" t="n">
        <v>2600398</v>
      </c>
      <c r="C40" s="5" t="s">
        <v>218</v>
      </c>
      <c r="D40" s="6" t="s">
        <v>219</v>
      </c>
      <c r="E40" s="7" t="s">
        <v>21</v>
      </c>
      <c r="F40" s="7" t="s">
        <v>37</v>
      </c>
      <c r="G40" s="7" t="s">
        <v>220</v>
      </c>
      <c r="H40" s="7" t="s">
        <v>221</v>
      </c>
      <c r="I40" s="7" t="s">
        <v>201</v>
      </c>
      <c r="J40" s="7" t="n">
        <v>6</v>
      </c>
      <c r="K40" s="7" t="n">
        <v>13</v>
      </c>
      <c r="L40" s="7" t="n">
        <v>8</v>
      </c>
      <c r="M40" s="7" t="n">
        <v>6</v>
      </c>
      <c r="N40" s="7" t="n">
        <v>10</v>
      </c>
      <c r="O40" s="7" t="n">
        <v>1</v>
      </c>
      <c r="P40" s="7" t="n">
        <v>44</v>
      </c>
      <c r="Q40" s="8" t="n">
        <v>5</v>
      </c>
      <c r="R40" s="9" t="s">
        <v>222</v>
      </c>
      <c r="S40" s="7" t="s">
        <v>27</v>
      </c>
    </row>
    <row r="41" customFormat="false" ht="75" hidden="false" customHeight="true" outlineLevel="0" collapsed="false">
      <c r="A41" s="2" t="n">
        <v>40</v>
      </c>
      <c r="B41" s="10" t="n">
        <v>2601290</v>
      </c>
      <c r="C41" s="10" t="s">
        <v>223</v>
      </c>
      <c r="D41" s="11" t="s">
        <v>224</v>
      </c>
      <c r="E41" s="12" t="s">
        <v>21</v>
      </c>
      <c r="F41" s="12" t="s">
        <v>22</v>
      </c>
      <c r="G41" s="12" t="s">
        <v>225</v>
      </c>
      <c r="H41" s="12" t="s">
        <v>226</v>
      </c>
      <c r="I41" s="12" t="s">
        <v>127</v>
      </c>
      <c r="J41" s="12" t="n">
        <v>14</v>
      </c>
      <c r="K41" s="12" t="n">
        <v>17</v>
      </c>
      <c r="L41" s="12" t="n">
        <v>19</v>
      </c>
      <c r="M41" s="12" t="n">
        <v>17</v>
      </c>
      <c r="N41" s="12" t="n">
        <v>1</v>
      </c>
      <c r="O41" s="12" t="n">
        <v>10</v>
      </c>
      <c r="P41" s="12" t="n">
        <v>78</v>
      </c>
      <c r="Q41" s="13" t="n">
        <v>2.25</v>
      </c>
      <c r="R41" s="14" t="s">
        <v>227</v>
      </c>
      <c r="S41" s="12" t="s">
        <v>34</v>
      </c>
    </row>
    <row r="42" customFormat="false" ht="75" hidden="false" customHeight="true" outlineLevel="0" collapsed="false">
      <c r="A42" s="4" t="n">
        <v>41</v>
      </c>
      <c r="B42" s="5" t="n">
        <v>2601268</v>
      </c>
      <c r="C42" s="5" t="s">
        <v>228</v>
      </c>
      <c r="D42" s="6" t="s">
        <v>229</v>
      </c>
      <c r="E42" s="7" t="s">
        <v>21</v>
      </c>
      <c r="F42" s="7" t="s">
        <v>22</v>
      </c>
      <c r="G42" s="7" t="s">
        <v>230</v>
      </c>
      <c r="H42" s="7" t="s">
        <v>51</v>
      </c>
      <c r="I42" s="7" t="s">
        <v>25</v>
      </c>
      <c r="J42" s="7" t="n">
        <v>15</v>
      </c>
      <c r="K42" s="7" t="n">
        <v>19</v>
      </c>
      <c r="L42" s="7" t="n">
        <v>19</v>
      </c>
      <c r="M42" s="7" t="n">
        <v>23</v>
      </c>
      <c r="N42" s="7" t="n">
        <v>3</v>
      </c>
      <c r="O42" s="7" t="n">
        <v>10</v>
      </c>
      <c r="P42" s="7" t="n">
        <v>89</v>
      </c>
      <c r="Q42" s="8" t="n">
        <v>1.5</v>
      </c>
      <c r="R42" s="9" t="s">
        <v>231</v>
      </c>
      <c r="S42" s="7" t="s">
        <v>27</v>
      </c>
    </row>
    <row r="43" customFormat="false" ht="75" hidden="false" customHeight="true" outlineLevel="0" collapsed="false">
      <c r="A43" s="2" t="n">
        <v>42</v>
      </c>
      <c r="B43" s="10" t="n">
        <v>2601311</v>
      </c>
      <c r="C43" s="10" t="s">
        <v>232</v>
      </c>
      <c r="D43" s="1" t="s">
        <v>73</v>
      </c>
      <c r="E43" s="12" t="s">
        <v>74</v>
      </c>
      <c r="F43" s="12" t="s">
        <v>75</v>
      </c>
      <c r="G43" s="12" t="s">
        <v>76</v>
      </c>
      <c r="H43" s="12" t="s">
        <v>77</v>
      </c>
      <c r="I43" s="12" t="s">
        <v>78</v>
      </c>
      <c r="J43" s="12" t="n">
        <v>0</v>
      </c>
      <c r="K43" s="12" t="n">
        <v>0</v>
      </c>
      <c r="L43" s="12" t="n">
        <v>0</v>
      </c>
      <c r="M43" s="12" t="n">
        <v>0</v>
      </c>
      <c r="N43" s="12" t="n">
        <v>0</v>
      </c>
      <c r="O43" s="12" t="n">
        <v>0</v>
      </c>
      <c r="P43" s="12" t="n">
        <v>0</v>
      </c>
      <c r="Q43" s="13" t="n">
        <v>5</v>
      </c>
      <c r="R43" s="14" t="s">
        <v>79</v>
      </c>
      <c r="S43" s="12" t="s">
        <v>34</v>
      </c>
    </row>
    <row r="44" customFormat="false" ht="75" hidden="false" customHeight="true" outlineLevel="0" collapsed="false">
      <c r="A44" s="2" t="n">
        <v>43</v>
      </c>
      <c r="B44" s="10" t="n">
        <v>2601269</v>
      </c>
      <c r="C44" s="10" t="s">
        <v>233</v>
      </c>
      <c r="D44" s="11" t="s">
        <v>234</v>
      </c>
      <c r="E44" s="12" t="s">
        <v>21</v>
      </c>
      <c r="F44" s="12" t="s">
        <v>22</v>
      </c>
      <c r="G44" s="12" t="s">
        <v>235</v>
      </c>
      <c r="H44" s="12" t="s">
        <v>236</v>
      </c>
      <c r="I44" s="12" t="s">
        <v>237</v>
      </c>
      <c r="J44" s="12" t="n">
        <v>7</v>
      </c>
      <c r="K44" s="12" t="n">
        <v>10</v>
      </c>
      <c r="L44" s="12" t="n">
        <v>13</v>
      </c>
      <c r="M44" s="12" t="n">
        <v>18</v>
      </c>
      <c r="N44" s="12" t="n">
        <v>3</v>
      </c>
      <c r="O44" s="12" t="n">
        <v>8</v>
      </c>
      <c r="P44" s="12" t="n">
        <v>59</v>
      </c>
      <c r="Q44" s="13" t="n">
        <v>5</v>
      </c>
      <c r="R44" s="14" t="s">
        <v>238</v>
      </c>
      <c r="S44" s="12" t="s">
        <v>34</v>
      </c>
    </row>
    <row r="45" customFormat="false" ht="75" hidden="false" customHeight="true" outlineLevel="0" collapsed="false">
      <c r="A45" s="2" t="n">
        <v>44</v>
      </c>
      <c r="B45" s="10" t="n">
        <v>2600404</v>
      </c>
      <c r="C45" s="10" t="s">
        <v>239</v>
      </c>
      <c r="D45" s="11" t="s">
        <v>240</v>
      </c>
      <c r="E45" s="12" t="s">
        <v>21</v>
      </c>
      <c r="F45" s="12" t="s">
        <v>22</v>
      </c>
      <c r="G45" s="12" t="s">
        <v>241</v>
      </c>
      <c r="H45" s="12" t="s">
        <v>63</v>
      </c>
      <c r="I45" s="12" t="s">
        <v>237</v>
      </c>
      <c r="J45" s="12" t="n">
        <v>10</v>
      </c>
      <c r="K45" s="12" t="n">
        <v>15</v>
      </c>
      <c r="L45" s="12" t="n">
        <v>11</v>
      </c>
      <c r="M45" s="12" t="n">
        <v>20</v>
      </c>
      <c r="N45" s="12" t="n">
        <v>3</v>
      </c>
      <c r="O45" s="12" t="n">
        <v>10</v>
      </c>
      <c r="P45" s="12" t="n">
        <v>69</v>
      </c>
      <c r="Q45" s="13" t="n">
        <v>2.75</v>
      </c>
      <c r="R45" s="14" t="s">
        <v>242</v>
      </c>
      <c r="S45" s="12" t="s">
        <v>34</v>
      </c>
    </row>
  </sheetData>
  <autoFilter ref="A1:S45"/>
  <hyperlinks>
    <hyperlink ref="D2" r:id="rId1" display="https://github.com/rdnx09/CPP102-Week2-Abarquez"/>
    <hyperlink ref="D3" r:id="rId2" display="https://github.com/abquinabrettaleson-rgb/cpp102-week2-abquina"/>
    <hyperlink ref="D4" r:id="rId3" display="https://github.com/Alviar6969/cpp102-week2-alviar.git"/>
    <hyperlink ref="D5" r:id="rId4" display="https://github.com/alviarmarkjoven-bit/Cpp102-Week2-Alviar"/>
    <hyperlink ref="D6" r:id="rId5" display="https://github.com/Kiz1007/CPP102-Week-2-Activity.git"/>
    <hyperlink ref="D7" r:id="rId6" display="https://github.com/raphleonardjalecobaltazar-design/CPP102-Week2-Baltazar"/>
    <hyperlink ref="D8" r:id="rId7" display="https://github.com/JohnnaFreyaBangsoy/CPP102-Week-2-Bangsoy-.git"/>
    <hyperlink ref="D9" r:id="rId8" display="https://github.com/batinearljhemuel-byte/cpp102-week2-batin"/>
    <hyperlink ref="D11" r:id="rId9" display="https://github.com/a4byv/CPP-102---WEEK-2_BUENO.git"/>
    <hyperlink ref="D12" r:id="rId10" display="https://github.com/riechoco/CPP102-Week2-Caban.git"/>
    <hyperlink ref="D13" r:id="rId11" display="https://github.com/haroldkierbycalalang/cpp102-week2-calalang.git"/>
    <hyperlink ref="D14" r:id="rId12" display="https://github.com/chim0123/cpp102-week2-caraan"/>
    <hyperlink ref="D15" r:id="rId13" display="https://github.com/CarteraRichard-3168/cpp102-Week2-Cartera"/>
    <hyperlink ref="D16" r:id="rId14" display="https://github.com/christoffecomia2007-stack/cpp102-week2--comia"/>
    <hyperlink ref="D17" r:id="rId15" display="https://github.com/johnmichaelcruz-cyber/cpp102-week2--cruz"/>
    <hyperlink ref="D18" r:id="rId16" display="https://github.com/delossantosxanderjann412-collab/CPP102-WEEK2-DeLosSantos.git"/>
    <hyperlink ref="D19" r:id="rId17" display="https://github.com/riakyn/cpp102-week2-devera.git"/>
    <hyperlink ref="D20" r:id="rId18" display="https://github.com/delacruzjohnlouiep/CPP102-1CPE-A-delacruzjohnlouiep..git"/>
    <hyperlink ref="D22" r:id="rId19" display="https://github.com/evangelistamark0331-oss/Cpp102-Week2-Evangelista.git"/>
    <hyperlink ref="D23" r:id="rId20" display="https://github.com/jomrfbros/-CPP102-week2-Fabros"/>
    <hyperlink ref="D24" r:id="rId21" display="https://github.com/gatchalian-boi420/CPPE102-week2-gatchalian.git"/>
    <hyperlink ref="D25" r:id="rId22" display="https://github.com/w3kg/CPP102-Week2-Gumpal"/>
    <hyperlink ref="D26" r:id="rId23" display="https://github.com/lancearchive/cpp102-week2-ibanez"/>
    <hyperlink ref="D28" r:id="rId24" display="https://github.com/LeopardasCyrelJ/cpp102-week2-leopardas"/>
    <hyperlink ref="D29" r:id="rId25" display="https://github.com/gelsonmagnaye/cpp102-week2-magnaye.git"/>
    <hyperlink ref="D30" r:id="rId26" display="https://github.com/yssa-han/CPP102-WEEK-2-Manipol.git/"/>
    <hyperlink ref="D32" r:id="rId27" display="https://github.com/angelicaverone/cpp102-week2-montenegro.git"/>
    <hyperlink ref="D33" r:id="rId28" display="https://github.com/MicaElizabethObidos/cpp102-week2-obidos.git"/>
    <hyperlink ref="D34" r:id="rId29" display="https://github.com/pabiamheryellejoyce/cpp102-week2-pabia.git"/>
    <hyperlink ref="D36" r:id="rId30" display="https://github.com/trishamarpanes-sudo/cpp102-week2-panes.git"/>
    <hyperlink ref="D37" r:id="rId31" display="https://github.com/pasionaeunice/cpp102-week2-pasiona.git"/>
    <hyperlink ref="D38" r:id="rId32" display="https://github.com/HanaHanae/cpp102-week2-permejo"/>
    <hyperlink ref="D39" r:id="rId33" display="https://github.com/Quebada-1CPE-A/cpp102-week2-quebada"/>
    <hyperlink ref="D40" r:id="rId34" display="https://github.com/jedlynross/cpp102-week2-quejada.git"/>
    <hyperlink ref="D41" r:id="rId35" display="https://github.com/dylanramos09096-oss/CPP-102-WEEK2-Ramos"/>
    <hyperlink ref="D42" r:id="rId36" display="https://github.com/vinyorr/cpp102-week2-rodriguez"/>
    <hyperlink ref="D44" r:id="rId37" display="https://github.com/PDBVelasco/cpp102-week2-Velasco.git"/>
    <hyperlink ref="D45" r:id="rId38" display="https://github.com/paulyaldua168-coder/cpp102-week2-yaldu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921875" defaultRowHeight="15" customHeight="false" zeroHeight="false" outlineLevelRow="0" outlineLevelCol="0"/>
  <cols>
    <col collapsed="false" customWidth="true" hidden="false" outlineLevel="0" max="1" min="1" style="1" width="34"/>
    <col collapsed="false" customWidth="true" hidden="false" outlineLevel="0" max="2" min="2" style="1" width="60"/>
  </cols>
  <sheetData>
    <row r="1" customFormat="false" ht="15.75" hidden="false" customHeight="true" outlineLevel="0" collapsed="false">
      <c r="A1" s="15" t="s">
        <v>243</v>
      </c>
    </row>
    <row r="3" customFormat="false" ht="15" hidden="false" customHeight="true" outlineLevel="0" collapsed="false">
      <c r="A3" s="16" t="s">
        <v>244</v>
      </c>
      <c r="B3" s="16" t="s">
        <v>245</v>
      </c>
    </row>
    <row r="4" customFormat="false" ht="15" hidden="false" customHeight="true" outlineLevel="0" collapsed="false">
      <c r="A4" s="17" t="s">
        <v>246</v>
      </c>
      <c r="B4" s="18" t="n">
        <f aca="false">COUNTA(Sheet1!B2:B45)</f>
        <v>44</v>
      </c>
    </row>
    <row r="5" customFormat="false" ht="15" hidden="false" customHeight="true" outlineLevel="0" collapsed="false">
      <c r="A5" s="17" t="s">
        <v>247</v>
      </c>
      <c r="B5" s="18" t="n">
        <f aca="false">COUNTIF(Sheet1!F2:F45,"Submitted")</f>
        <v>34</v>
      </c>
    </row>
    <row r="6" customFormat="false" ht="15" hidden="false" customHeight="true" outlineLevel="0" collapsed="false">
      <c r="A6" s="17" t="s">
        <v>248</v>
      </c>
      <c r="B6" s="18" t="n">
        <f aca="false">COUNTIF(Sheet1!F2:F45,"Incomplete")</f>
        <v>5</v>
      </c>
    </row>
    <row r="7" customFormat="false" ht="15" hidden="false" customHeight="true" outlineLevel="0" collapsed="false">
      <c r="A7" s="17" t="s">
        <v>249</v>
      </c>
      <c r="B7" s="18" t="n">
        <f aca="false">COUNTIF(Sheet1!F2:F45,"Not Submitted")</f>
        <v>5</v>
      </c>
    </row>
    <row r="8" customFormat="false" ht="15" hidden="false" customHeight="true" outlineLevel="0" collapsed="false">
      <c r="A8" s="17" t="s">
        <v>250</v>
      </c>
      <c r="B8" s="18" t="n">
        <f aca="false">COUNTIF(Sheet1!E2:E45,"Repository Not Found")+COUNTIF(Sheet1!E2:E45,"Private Repository")+COUNTIF(Sheet1!E2:E45,"Invalid Link")+COUNTIF(Sheet1!E2:E45,"Access Denied")+COUNTIF(Sheet1!E2:E45,"Empty Repository")</f>
        <v>0</v>
      </c>
    </row>
    <row r="9" customFormat="false" ht="15" hidden="false" customHeight="true" outlineLevel="0" collapsed="false">
      <c r="A9" s="17" t="s">
        <v>251</v>
      </c>
      <c r="B9" s="18" t="n">
        <f aca="false">COUNTIF(Sheet1!S2:S45,"Yes")</f>
        <v>9</v>
      </c>
    </row>
    <row r="10" customFormat="false" ht="15" hidden="false" customHeight="true" outlineLevel="0" collapsed="false">
      <c r="A10" s="17" t="s">
        <v>252</v>
      </c>
      <c r="B10" s="18" t="n">
        <f aca="false">ROUND(AVERAGE(Sheet1!P2:P45),1)</f>
        <v>61.7</v>
      </c>
    </row>
    <row r="11" customFormat="false" ht="15" hidden="false" customHeight="true" outlineLevel="0" collapsed="false">
      <c r="A11" s="17" t="s">
        <v>253</v>
      </c>
      <c r="B11" s="18" t="n">
        <f aca="false">MAX(Sheet1!P2:P45)</f>
        <v>96</v>
      </c>
    </row>
    <row r="12" customFormat="false" ht="15" hidden="false" customHeight="true" outlineLevel="0" collapsed="false">
      <c r="A12" s="17" t="s">
        <v>254</v>
      </c>
      <c r="B12" s="18" t="n">
        <f aca="false">MIN(Sheet1!P2:P45)</f>
        <v>0</v>
      </c>
    </row>
    <row r="14" customFormat="false" ht="15" hidden="false" customHeight="true" outlineLevel="0" collapsed="false">
      <c r="A14" s="16" t="s">
        <v>255</v>
      </c>
      <c r="B14" s="16" t="s">
        <v>256</v>
      </c>
    </row>
    <row r="15" customFormat="false" ht="15" hidden="false" customHeight="true" outlineLevel="0" collapsed="false">
      <c r="A15" s="18" t="s">
        <v>257</v>
      </c>
      <c r="B15" s="18" t="n">
        <f aca="false">COUNTIF(Sheet1!Q2:Q45,1)</f>
        <v>1</v>
      </c>
    </row>
    <row r="16" customFormat="false" ht="15" hidden="false" customHeight="true" outlineLevel="0" collapsed="false">
      <c r="A16" s="18" t="s">
        <v>258</v>
      </c>
      <c r="B16" s="18" t="n">
        <f aca="false">COUNTIF(Sheet1!Q2:Q45,1.25)</f>
        <v>2</v>
      </c>
    </row>
    <row r="17" customFormat="false" ht="15" hidden="false" customHeight="true" outlineLevel="0" collapsed="false">
      <c r="A17" s="18" t="s">
        <v>259</v>
      </c>
      <c r="B17" s="18" t="n">
        <f aca="false">COUNTIF(Sheet1!Q2:Q45,1.5)</f>
        <v>4</v>
      </c>
    </row>
    <row r="18" customFormat="false" ht="15" hidden="false" customHeight="true" outlineLevel="0" collapsed="false">
      <c r="A18" s="18" t="s">
        <v>260</v>
      </c>
      <c r="B18" s="18" t="n">
        <f aca="false">COUNTIF(Sheet1!Q2:Q45,1.75)</f>
        <v>5</v>
      </c>
    </row>
    <row r="19" customFormat="false" ht="15" hidden="false" customHeight="true" outlineLevel="0" collapsed="false">
      <c r="A19" s="18" t="s">
        <v>261</v>
      </c>
      <c r="B19" s="18" t="n">
        <f aca="false">COUNTIF(Sheet1!Q2:Q45,2)</f>
        <v>0</v>
      </c>
    </row>
    <row r="20" customFormat="false" ht="15" hidden="false" customHeight="true" outlineLevel="0" collapsed="false">
      <c r="A20" s="18" t="s">
        <v>262</v>
      </c>
      <c r="B20" s="18" t="n">
        <f aca="false">COUNTIF(Sheet1!Q2:Q45,2.25)</f>
        <v>5</v>
      </c>
    </row>
    <row r="21" customFormat="false" ht="15" hidden="false" customHeight="true" outlineLevel="0" collapsed="false">
      <c r="A21" s="18" t="s">
        <v>263</v>
      </c>
      <c r="B21" s="18" t="n">
        <f aca="false">COUNTIF(Sheet1!Q2:Q45,2.5)</f>
        <v>1</v>
      </c>
    </row>
    <row r="22" customFormat="false" ht="15" hidden="false" customHeight="true" outlineLevel="0" collapsed="false">
      <c r="A22" s="18" t="s">
        <v>264</v>
      </c>
      <c r="B22" s="18" t="n">
        <f aca="false">COUNTIF(Sheet1!Q2:Q45,2.75)</f>
        <v>8</v>
      </c>
    </row>
    <row r="23" customFormat="false" ht="15" hidden="false" customHeight="true" outlineLevel="0" collapsed="false">
      <c r="A23" s="18" t="s">
        <v>265</v>
      </c>
      <c r="B23" s="18" t="n">
        <f aca="false">COUNTIF(Sheet1!Q2:Q45,3)</f>
        <v>3</v>
      </c>
    </row>
    <row r="24" customFormat="false" ht="15" hidden="false" customHeight="true" outlineLevel="0" collapsed="false">
      <c r="A24" s="18" t="s">
        <v>266</v>
      </c>
      <c r="B24" s="18" t="n">
        <f aca="false">COUNTIF(Sheet1!Q2:Q45,5)</f>
        <v>15</v>
      </c>
    </row>
    <row r="26" customFormat="false" ht="15" hidden="false" customHeight="true" outlineLevel="0" collapsed="false">
      <c r="A26" s="19" t="s">
        <v>267</v>
      </c>
    </row>
    <row r="27" customFormat="false" ht="109.5" hidden="false" customHeight="true" outlineLevel="0" collapsed="false">
      <c r="A27" s="20" t="s">
        <v>268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2026-07-06T03:47:54Z</dcterms:created>
  <dc:creator>Aldrin Soriano</dc:creator>
  <dc:description/>
  <dc:language>en-US</dc:language>
  <cp:lastModifiedBy>Aldrin Soriano</cp:lastModifiedBy>
  <dcterms:modified xsi:type="dcterms:W3CDTF">2026-07-06T11:07:32Z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