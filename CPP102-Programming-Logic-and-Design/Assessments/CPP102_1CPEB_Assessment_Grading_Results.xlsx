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ummary" sheetId="2" state="visible" r:id="rId4"/>
  </sheets>
  <definedNames>
    <definedName function="false" hidden="true" localSheetId="0" name="_xlnm._FilterDatabase" vbProcedure="false">Sheet1!$A$1:$S$46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<sst xmlns="http://schemas.openxmlformats.org/spreadsheetml/2006/main" count="467" uniqueCount="271">
  <si>
    <t xml:space="preserve">No.</t>
  </si>
  <si>
    <t xml:space="preserve">Student ID</t>
  </si>
  <si>
    <t xml:space="preserve">Full Name</t>
  </si>
  <si>
    <t xml:space="preserve">Laboratory github</t>
  </si>
  <si>
    <t xml:space="preserve">Repository Status</t>
  </si>
  <si>
    <t xml:space="preserve">Submission Status</t>
  </si>
  <si>
    <t xml:space="preserve">Actual Repository Name</t>
  </si>
  <si>
    <t xml:space="preserve">Files Checked</t>
  </si>
  <si>
    <t xml:space="preserve">Git Workflow Evidence</t>
  </si>
  <si>
    <t xml:space="preserve">Input-Process-Output Analysis (15)</t>
  </si>
  <si>
    <t xml:space="preserve">Algorithm Correctness and Clarity (20)</t>
  </si>
  <si>
    <t xml:space="preserve">Pseudocode Correctness and Readability (20)</t>
  </si>
  <si>
    <t xml:space="preserve">Flowchart Correctness and Symbol Usage (25)</t>
  </si>
  <si>
    <t xml:space="preserve">Git Commit Evidence and File Organization (10)</t>
  </si>
  <si>
    <t xml:space="preserve">Completeness, Neatness, and README Reflection (10)</t>
  </si>
  <si>
    <t xml:space="preserve">Total Score (100)</t>
  </si>
  <si>
    <t xml:space="preserve">Grade</t>
  </si>
  <si>
    <t xml:space="preserve">Comments</t>
  </si>
  <si>
    <t xml:space="preserve">Manual Review Required</t>
  </si>
  <si>
    <t xml:space="preserve">ABARTE, CHARLS LESTER  M.</t>
  </si>
  <si>
    <t xml:space="preserve">https://github.com/charlslesterabarte/cpp101-week2-ABARTE.git</t>
  </si>
  <si>
    <t xml:space="preserve">Accessible</t>
  </si>
  <si>
    <t xml:space="preserve">Submitted</t>
  </si>
  <si>
    <t xml:space="preserve">charlslesterabarte/cpp101-week2-ABARTE</t>
  </si>
  <si>
    <t xml:space="preserve">README.md, algorithm.txt, pseudocode.txt, flowchart1.md, flowchart2.md, flowchart3.md</t>
  </si>
  <si>
    <t xml:space="preserve">100% local git (1/1 commits)</t>
  </si>
  <si>
    <t xml:space="preserve">All submitted files (algorithm.txt, pseudocode.txt, flowchart1-3.md, README.md) are completely empty (0 bytes) -- no algorithm, pseudocode, flowchart, or reflection content was actually written, despite the repository and a commit existing.</t>
  </si>
  <si>
    <t xml:space="preserve">No</t>
  </si>
  <si>
    <t xml:space="preserve">ALJECERA, JOHN MARK  T.</t>
  </si>
  <si>
    <t xml:space="preserve">https://github.com/crong-max/CPP-WEEK2-ALJECERA.git</t>
  </si>
  <si>
    <t xml:space="preserve">crong-max/CPP-WEEK2-ALJECERA</t>
  </si>
  <si>
    <t xml:space="preserve">Algorithm and pseudocode are correct and consistent for all 3 activities (add two numbers, average of three quiz scores, even/odd). flowchart3.md is an exact duplicate of flowchart1.md (Add Two Numbers) instead of showing the Even/Odd flowchart -- Activity 3's flowchart is effectively missing.</t>
  </si>
  <si>
    <t xml:space="preserve">ANORE, DRINNS ALDRICH  V.</t>
  </si>
  <si>
    <t xml:space="preserve">https://github.com/Drinns/ccp102-week2-anore.git</t>
  </si>
  <si>
    <t xml:space="preserve">Drinns/ccp102-week2-anore</t>
  </si>
  <si>
    <t xml:space="preserve">Algorithm and pseudocode are correct and consistent for Activities 1 and 3. flowchart2.md shows 'difference = num1 - num2' (a subtraction), which does not match Activity 2 (average of three scores) in the algorithm/pseudocode -- a real mismatch between the flowchart and the written logic.</t>
  </si>
  <si>
    <t xml:space="preserve">BARON, DESIREE  D.</t>
  </si>
  <si>
    <t xml:space="preserve">https://github.com/desbrn/cpp102-week2-baron.git</t>
  </si>
  <si>
    <t xml:space="preserve">desbrn/cpp102-week2-baron</t>
  </si>
  <si>
    <t xml:space="preserve">README.md, algorithm.txt, psuedocode.txt, flowchart1.md, flowchart2.md, flowchart3.md</t>
  </si>
  <si>
    <t xml:space="preserve">Commit(s) present (1) but none attributable to this student -- see comments</t>
  </si>
  <si>
    <t xml:space="preserve">Activity 1's problem statement and variable names (TS/QS) don't match the standard add-two-numbers wording used elsewhere in the class, suggesting a rewritten/altered problem statement. pseudocode.txt for Activity 2 cuts off after the PROCESS line -- missing the DISPLAY average and END statements. flowchart1.md shows a Positive/Negative-number check, which does not correspond to any of the 3 activities described in the algorithm or pseudocode -- a real content mismatch. Git history shows the repository's only commit was authored and committed under another student's name and email (matching a section A student, Marabillo), not Baron. See Manual Review note.</t>
  </si>
  <si>
    <t xml:space="preserve">Yes</t>
  </si>
  <si>
    <t xml:space="preserve">BAUI, SEAN YRON  F.</t>
  </si>
  <si>
    <t xml:space="preserve">https://github.com/SeanYronBaui/cpp102-week2-BAUI</t>
  </si>
  <si>
    <t xml:space="preserve">Repository Not Found</t>
  </si>
  <si>
    <t xml:space="preserve">Could not be verified -- repository inaccessible</t>
  </si>
  <si>
    <t xml:space="preserve">N/A</t>
  </si>
  <si>
    <t xml:space="preserve">For Manual Review</t>
  </si>
  <si>
    <t xml:space="preserve">A link was submitted (https://github.com/SeanYronBaui/cpp102-week2-BAUI) and the GitHub owner account exists, but the specific repository name returns a 404. This may be a typo in the repository name, a renamed/deleted repository, or a private repository -- these cannot be distinguished without contacting the student. Do not assume a zero; please verify directly with the student.</t>
  </si>
  <si>
    <t xml:space="preserve">BONIFACIO, CHIKIEZIE NATHAN  B.</t>
  </si>
  <si>
    <t xml:space="preserve">https://github.com/chikiezienathanbonifacio/CPP102-WEEK-2-Bonifacio.git</t>
  </si>
  <si>
    <t xml:space="preserve">chikiezienathanbonifacio/CPP102-WEEK-2-Bonifacio</t>
  </si>
  <si>
    <t xml:space="preserve">README.md.txt, algorithm.txt, pseudocode.txt, flowchart1.md or image, flowchart2.md or image, flowchart3.md or image</t>
  </si>
  <si>
    <t xml:space="preserve">Algorithm and pseudocode are correct and consistent for all 3 activities (pass/fail, positive/negative, average of three grades). All three flowchart files are literally named 'flowchart1.md or image' (etc.) -- it appears the assignment instructions' example filename was copied as the actual filename rather than replaced -- and each file is only 157-179 bytes, far too small to contain a real flowchart. The flowcharts are effectively non-functional.</t>
  </si>
  <si>
    <t xml:space="preserve">BORRAS, MELVIN III E.</t>
  </si>
  <si>
    <t xml:space="preserve">https://github.com/BorrasIII/CPP-102-Borras.git</t>
  </si>
  <si>
    <t xml:space="preserve">BorrasIII/CPP-102-Borras</t>
  </si>
  <si>
    <t xml:space="preserve">100% local git (3/3 commits)</t>
  </si>
  <si>
    <t xml:space="preserve">pseudocode.txt and all 3 flowcharts correctly cover Activities 1-3 (add numbers, pass/fail, positive/negative). algorithm.txt is missing Activity 1 (add two numbers) entirely and instead repeats the pass/fail activity twice -- a real gap/error specific to the algorithm document. algorithm.txt, pseudocode.txt, and one flowchart are near-identical in wording and structure to another student's submission in this section (Flores). See Manual Review note. The student's own git history is 100% locally committed under their own name.</t>
  </si>
  <si>
    <t xml:space="preserve">CALIMAG, TART JARCEL  O.</t>
  </si>
  <si>
    <t xml:space="preserve">https://github.com/calimagtartjarcel-create/calimagtartjarcel-create-cpp102-week2-calimag.git</t>
  </si>
  <si>
    <t xml:space="preserve">calimagtartjarcel-create/calimagtartjarcel-create-cpp102-week2-calimag</t>
  </si>
  <si>
    <t xml:space="preserve">README.md, algorithm.txt, Pseudocode.txt, flowchart1.md, flowchart2.md, flowchart3.md</t>
  </si>
  <si>
    <t xml:space="preserve">Algorithm, pseudocode, and flowcharts are correct and consistent across all 3 activities (add two numbers, average of three quiz scores, even/odd).</t>
  </si>
  <si>
    <t xml:space="preserve">COLDAS, JOHN CARLO  R.</t>
  </si>
  <si>
    <t xml:space="preserve">https://github.com/carlo0022/cpp102-week2-coldas.git</t>
  </si>
  <si>
    <t xml:space="preserve">carlo0022/cpp102-week2-coldas</t>
  </si>
  <si>
    <t xml:space="preserve">All 3 activities are correctly and clearly represented across algorithm, pseudocode, and flowchart, with matching variable names throughout.</t>
  </si>
  <si>
    <t xml:space="preserve">COSADIO, MARJORIE  M.</t>
  </si>
  <si>
    <t xml:space="preserve">https://github.com/marjiee4/CPP-Week-2---Cosadio.git</t>
  </si>
  <si>
    <t xml:space="preserve">marjiee4/CPP-Week-2---Cosadio</t>
  </si>
  <si>
    <t xml:space="preserve">Algorithm, pseudocode, and flowcharts are correct and consistent for all 3 activities. Git history shows the repository's only commit was authored and committed under a different person's name and email (Ezekiel Ronquis), not Cosadio. See Manual Review note.</t>
  </si>
  <si>
    <t xml:space="preserve">COZ, BENEDICK  C.</t>
  </si>
  <si>
    <t xml:space="preserve">https://github.com/benedick1654321-bot/cpp102-week2-Coz.git</t>
  </si>
  <si>
    <t xml:space="preserve">benedick1654321-bot/cpp102-week2-Coz</t>
  </si>
  <si>
    <t xml:space="preserve">README.md, algorithm.txt, pseudocode.txt, flowchart1.MD, flowchart2.MD, flowchart3.MD</t>
  </si>
  <si>
    <t xml:space="preserve">Algorithm and pseudocode correctly and consistently cover Activities 1-3 (add two numbers, even/odd, rectangle area). None of the 3 flowchart files correspond to these activities: flowchart1 diagrams a passing-grade decision, flowchart2 diagrams positive/negative, and flowchart3 diagrams Latin honors classification -- three unrelated problems that don't match the algorithm or pseudocode at all.</t>
  </si>
  <si>
    <t xml:space="preserve">CRUZADO, CHARLES WILLIAM  E.</t>
  </si>
  <si>
    <t xml:space="preserve">https://github.com/python680/CPP102-WEEK2-CRUZADO.git</t>
  </si>
  <si>
    <t xml:space="preserve">python680/CPP102-WEEK2-CRUZADO</t>
  </si>
  <si>
    <t xml:space="preserve">100% local git (4/4 commits)</t>
  </si>
  <si>
    <t xml:space="preserve">Algorithm, pseudocode, and flowcharts are consistent across all 3 activities (add two numbers, pass/fail, positive/negative). flowchart1.md and flowchart2.md are missing the closing ``` code fence, which may prevent the Mermaid diagram from rendering properly on GitHub.</t>
  </si>
  <si>
    <t xml:space="preserve">DANSECO, JOSH WILFRIED</t>
  </si>
  <si>
    <t xml:space="preserve">https://github.com/joshdanseco-bit/CPP102-WEEK2.Danseco-josh.git</t>
  </si>
  <si>
    <t xml:space="preserve">joshdanseco-bit/CPP102-WEEK2.Danseco-josh</t>
  </si>
  <si>
    <t xml:space="preserve">CPP102/README.md, CPP102/algorithm.txt, CPP102/pseudocode.txt, CPP102/flowchart1.md, CPP102/flowchart2.md, CPP102/flowchart3.md</t>
  </si>
  <si>
    <t xml:space="preserve">100% GitHub web interface (1/1 commits)</t>
  </si>
  <si>
    <t xml:space="preserve">Files are nested inside a 'CPP102/' subfolder rather than the repository root. algorithm.txt appears to be copied directly from the reference module (includes the stray header text 'Department of Computer Engineering | Page 10') and only covers 2 activities (average of three grades, even/odd) -- missing Add Two Numbers. pseudocode.txt covers a different set of activities (positive/negative, average of three grades, rectangle area) than algorithm.txt, and the flowcharts show yet another combination (positive/negative, average, even/odd) -- the three documents are not consistent with each other. 100% of commits were made via the GitHub web interface rather than local git/VS Code.</t>
  </si>
  <si>
    <t xml:space="preserve">DIAZ, KENT ISIDORE  M.</t>
  </si>
  <si>
    <t xml:space="preserve">https://github.com/KentDiaz/cpp102-week2-diaz.git</t>
  </si>
  <si>
    <t xml:space="preserve">KentDiaz/cpp102-week2-diaz</t>
  </si>
  <si>
    <t xml:space="preserve">100% GitHub web interface (3/3 commits)</t>
  </si>
  <si>
    <t xml:space="preserve">Algorithm, pseudocode, and flowcharts are correct and consistent across all 3 activities. All 3 commits were made via the GitHub web interface rather than local git/VS Code.</t>
  </si>
  <si>
    <t xml:space="preserve">DIAZ, RALPH CHESTER  P.</t>
  </si>
  <si>
    <t xml:space="preserve">https://github.com/ralphhp/cpp102-week2-diaz.git</t>
  </si>
  <si>
    <t xml:space="preserve">ralphhp/cpp102-week2-diaz</t>
  </si>
  <si>
    <t xml:space="preserve">pseudocode.txt Activity 2 has an incomplete line: 'INPUT' with no variable name specified. All 3 flowchart files end with a stray "'''" (three apostrophes) instead of a proper markdown code fence closing (```), which will likely break Mermaid rendering on GitHub. flowchart1.md has a typo, 'Input sum1', which should read 'Input num1' to match the algorithm. Git history shows the repository's only commit was authored and committed under a different person's name and email (Klhean Zhyme Caballero), not Diaz. See Manual Review note.</t>
  </si>
  <si>
    <t xml:space="preserve">DICTADO, FRANCES ANGELA  S.</t>
  </si>
  <si>
    <t xml:space="preserve">https://github.com/francesdictado25-max/CPP102-week2-Dictado.git</t>
  </si>
  <si>
    <t xml:space="preserve">francesdictado25-max/CPP102-week2-Dictado</t>
  </si>
  <si>
    <t xml:space="preserve">Algorithm, pseudocode, and flowcharts are correct and consistent for all 3 activities. Pseudocode is written somewhat informally (e.g., 'PROCESS sum of the first value and the second value' instead of an explicit formula) but the logic is still clear and correct.</t>
  </si>
  <si>
    <t xml:space="preserve">FLORES, ADRIAN  S.</t>
  </si>
  <si>
    <t xml:space="preserve">https://github.com/Flores0123/cpp102-week2-Flores.git</t>
  </si>
  <si>
    <t xml:space="preserve">Flores0123/cpp102-week2-Flores</t>
  </si>
  <si>
    <t xml:space="preserve">Mixed: 2/4 commits local, 2/4 via GitHub web</t>
  </si>
  <si>
    <t xml:space="preserve">pseudocode.txt and all 3 flowcharts correctly cover Activities 1-3 (add numbers, pass/fail, positive/negative). algorithm.txt is missing Activity 1 (add two numbers) entirely and instead repeats the pass/fail activity twice -- the same specific gap found in another student's algorithm.txt in this section (Borras). See Manual Review note. An extra, unexplained 'Activity1.txt' file exists alongside algorithm.txt. Git history shows 2 of 4 commits made via the GitHub web interface and 2 via local git, all under the student's own identity.</t>
  </si>
  <si>
    <t xml:space="preserve">FULGAR, ANDREA  D.</t>
  </si>
  <si>
    <t xml:space="preserve">https://github.com/andreafulgar895-alt/cpp102-week2-fulgar.git</t>
  </si>
  <si>
    <t xml:space="preserve">andreafulgar895-alt/cpp102-week2-fulgar</t>
  </si>
  <si>
    <t xml:space="preserve">Commit(s) present (3) but none attributable to this student -- see comments</t>
  </si>
  <si>
    <t xml:space="preserve">Algorithm and pseudocode are correct and consistent for all 3 activities. flowchart2.md writes the formula as 'average = score1+score2+score3 /3' without parentheses around the sum -- as written, order of operations divides only score3 by 3 rather than the whole sum, a real logic error even though the pseudocode has it correct. Git history shows all 3 commits were authored and committed under a different student's name and account (matching section A student De Los Santos), not Fulgar. See Manual Review note.</t>
  </si>
  <si>
    <t xml:space="preserve">GELUZ, DARYL LORENZ  M.</t>
  </si>
  <si>
    <t xml:space="preserve">https://github.com/xiilly/cpp102-week2-geluz.git</t>
  </si>
  <si>
    <t xml:space="preserve">xiilly/cpp102-week2-geluz</t>
  </si>
  <si>
    <t xml:space="preserve">README.md, Algorithm.txt, Pseudocode.txt, Flowchart 1.md, Flowchart 2.md, Flowchart 3.md</t>
  </si>
  <si>
    <t xml:space="preserve">Commit(s) present (4) but none attributable to this student -- see comments</t>
  </si>
  <si>
    <t xml:space="preserve">File names use spaces and inconsistent capitalization ('Algorithm.txt', 'Flowchart 1.md') rather than the standard lowercase convention. pseudocode.txt Activity 3 does not show the IF/THEN/ELSE branching structure -- it just states 'DISPLAY "Even" or "Odd"' without conditional logic. flowchart2's formula 'average = score1 + score2 + score3 / 3' is missing parentheses, a real order-of-operations error. The README's course/activity title ('Introduction to Python, Git, and GitHub') does not match the actual assignment (Algorithm, Pseudocode, and Flowchart) -- appears to be copied from an unrelated template. Git history shows all 4 commits were authored and committed under a different student's name and account (matching section A student De Vera), not Geluz. See Manual Review note.</t>
  </si>
  <si>
    <t xml:space="preserve">GERONA, XYVER JAMES  D.</t>
  </si>
  <si>
    <t xml:space="preserve">https://github.com/zpyxy1/cpp102-week2-gerona.git</t>
  </si>
  <si>
    <t xml:space="preserve">zpyxy1/cpp102-week2-gerona</t>
  </si>
  <si>
    <t xml:space="preserve">README.md, algorithms.txt, pseudocode.txt, flowchart1.md, flowchart2.md, flowchat3.md</t>
  </si>
  <si>
    <t xml:space="preserve">Filenames have typos ('algorithms.txt' instead of algorithm.txt, 'flowchat3.md' instead of flowchart3.md). algorithm.txt and pseudocode.txt correctly cover Add Two Numbers, Pass/Fail, and Positive/Negative. flowchart1.md does not show Add Two Numbers as expected -- it shows the Average-of-3-Grades diagram instead, a mismatch with the algorithm's first activity.</t>
  </si>
  <si>
    <t xml:space="preserve">GUILLEN, RENZ REY  R.</t>
  </si>
  <si>
    <t xml:space="preserve">https://github.com/cperenz/cpp102--week2-guillen.git</t>
  </si>
  <si>
    <t xml:space="preserve">cperenz/cpp102--week2-guillen</t>
  </si>
  <si>
    <t xml:space="preserve">README.md, algorithm.txt, pseudocode.txt, flowchart1.txt, flowchart2.txt, flowchart3.txt</t>
  </si>
  <si>
    <t xml:space="preserve">Algorithm, pseudocode, and flowcharts are correct and consistent for all 3 activities. Flowcharts are saved as .txt files instead of .md -- the Mermaid syntax itself is correct but they won't be visually distinguished as diagrams in the file list.</t>
  </si>
  <si>
    <t xml:space="preserve">JAOS, FABIENNE XAVIER  T.</t>
  </si>
  <si>
    <t xml:space="preserve">https://github.com/fabithecpe/cpp102-week2-JAOS.git</t>
  </si>
  <si>
    <t xml:space="preserve">fabithecpe/cpp102-week2-JAOS</t>
  </si>
  <si>
    <t xml:space="preserve">README.MD, algorithm.txt, pseudocode.txt, flowchart1.md, flowchart2.md, flowchart3.md</t>
  </si>
  <si>
    <t xml:space="preserve">Algorithm, pseudocode, and flowcharts are correct and consistent for all 3 activities. Small typo in pseudocode.txt: 'sum = num1 + num2x' (stray 'x').</t>
  </si>
  <si>
    <t xml:space="preserve">LAGARAS, ALBRYCHT  V.</t>
  </si>
  <si>
    <t xml:space="preserve">https://github.com/albuunak/CPP102-WEEK2-B-LAGARAS.git</t>
  </si>
  <si>
    <t xml:space="preserve">albuunak/CPP102-WEEK2-B-LAGARAS</t>
  </si>
  <si>
    <t xml:space="preserve">Algorithm and flowcharts are correct and consistent for all 3 activities. pseudocode.txt Activity 3 doesn't show real IF/THEN/ELSE branching -- it just states 'DISPLAY "Even" or "Odd"' as one line, losing the conditional logic pseudocode is meant to show.</t>
  </si>
  <si>
    <t xml:space="preserve">LAYOLA, JAHZEEL ALEXI</t>
  </si>
  <si>
    <t xml:space="preserve">https://github.com/jalexilayola-cyber/cpp102-week2-layola.git</t>
  </si>
  <si>
    <t xml:space="preserve">jalexilayola-cyber/cpp102-week2-layola</t>
  </si>
  <si>
    <t xml:space="preserve">algorithm.txt is correct and consistent for all 3 activities. pseudocode.txt Activity 2 uses a backslash: 'average = (score1+score2+score3)\3' instead of a forward slash -- not valid division notation. pseudocode.txt Activity 3 doesn't show real IF/THEN/ELSE branching. All 3 flowcharts use 'FLOWCHART TD' (uppercase) instead of 'flowchart TD' -- Mermaid's diagram keyword is case-sensitive, so these will likely fail to render as diagrams on GitHub.</t>
  </si>
  <si>
    <t xml:space="preserve">MAIGUE, JUAN MIGUEL  P.</t>
  </si>
  <si>
    <t xml:space="preserve">https://github.com/migs1130/cpp-week2-Maigue.git</t>
  </si>
  <si>
    <t xml:space="preserve">migs1130/cpp-week2-Maigue</t>
  </si>
  <si>
    <t xml:space="preserve">JM_algorithm.txt, JM_pseudocode.txt, JM_flowchart1.md, JM_flowchart2.md, JM_flowchart3.md</t>
  </si>
  <si>
    <t xml:space="preserve">Algorithm, pseudocode, and flowcharts are correct and consistent for all 3 activities. No standard README.md file exists -- the reflection is saved as 'Maigue_README.md', a non-standard name that GitHub will not automatically display on the repository's main page. Files use an inconsistent 'JM_' naming prefix instead of the standard filenames.</t>
  </si>
  <si>
    <t xml:space="preserve">MONTEJO, HAROLD  M.</t>
  </si>
  <si>
    <t xml:space="preserve">https://github.com/Lalalanoname/cpp102-week2-Montejo.git</t>
  </si>
  <si>
    <t xml:space="preserve">Lalalanoname/cpp102-week2-Montejo</t>
  </si>
  <si>
    <t xml:space="preserve">100% local git (2/2 commits)</t>
  </si>
  <si>
    <t xml:space="preserve">Algorithm, pseudocode, and flowcharts are correct and consistent for all 3 activities. Git history is 100% local commits under the student's own name. This student's name and email also appear as a commit author on another student's repository in this section (Rejano). See Manual Review note.</t>
  </si>
  <si>
    <t xml:space="preserve">OCTAVO, CRISTINE IANE  B.</t>
  </si>
  <si>
    <t xml:space="preserve">https://github.com/cristineoctavo/cpp102-week2-octavo.git</t>
  </si>
  <si>
    <t xml:space="preserve">cristineoctavo/cpp102-week2-octavo</t>
  </si>
  <si>
    <t xml:space="preserve">README.md, algorithm.txt, pseudocode.txt, act1-flowchart1.png, flowchart1.md, flowchart2.md, flowchart3.md</t>
  </si>
  <si>
    <t xml:space="preserve">algorithm.txt and pseudocode.txt are both completely empty -- no written algorithm or pseudocode exists for any of the 3 activities. flowchart2.md and flowchart3.md are also empty. Only one flowchart image (act1-flowchart1.png, Add Two Numbers) exists, and even that uses a diamond (decision) shape for the 'Display sum' step instead of the correct parallelogram (output) shape. Effectively only 1 of the 9 required algorithm/pseudocode/flowchart pieces (3 activities x 3 formats) has real content.</t>
  </si>
  <si>
    <t xml:space="preserve">PALENTINOS, ARIES GEOF  T.</t>
  </si>
  <si>
    <t xml:space="preserve">https://github.com/palentinosariesgeof-blip/cpp102-week2-palentinos.git</t>
  </si>
  <si>
    <t xml:space="preserve">palentinosariesgeof-blip/cpp102-week2-palentinos</t>
  </si>
  <si>
    <t xml:space="preserve">Mixed: 2/2 commits local, but not all attributable to this student -- see comments</t>
  </si>
  <si>
    <t xml:space="preserve">algorithm.txt's intro line says 'Ask the user for two numbers, add them, and display the sum' but the algorithm underneath actually computes an average of three grades -- a mismatched problem statement. The average formula in algorithm.txt is 'average = (grade1 + grade2 + grade3.)' -- missing the '/3' -- so it actually computes a sum, not an average, a real logic error (pseudocode.txt has this correct). flowchart2.md opens with "'''mermaid" instead of a proper triple-backtick fence, so it will not render as a diagram on GitHub, and contains a stray typo ('Display/ Failed'). flowchart3.md is structurally broken: node B connects directly to D labeled 'Yes' without the decision node C ever being defined, even though the 'No' branch (C -- No --&gt; E) depends on it -- a dangling/undefined reference. One of the two commits in this repository was authored and committed under another student's name and account (matching Sadicon, also in this section). See Manual Review note.</t>
  </si>
  <si>
    <t xml:space="preserve">PANGANIBAN, NATHANIEL  S.</t>
  </si>
  <si>
    <t xml:space="preserve">https://github.com/NaYTaNiel/cpp102-week2-Panganiban.git</t>
  </si>
  <si>
    <t xml:space="preserve">NaYTaNiel/cpp102-week2-Panganiban</t>
  </si>
  <si>
    <t xml:space="preserve">README.md, algorithm.txt, Pseudocode.txt, flowchart1.png, flowchart2.png, flowchart3.png</t>
  </si>
  <si>
    <t xml:space="preserve">Algorithm and pseudocode are correct and consistent for all 3 activities, though with several typos ('PROCESSS', 'dispalys', 'deisplay'). Flowchart 1 (image) is correct and clear. Flowchart 2 (image) is structurally malformed -- it includes an extra, undefined 'INPUT Scores' box not used anywhere in the algorithm, and the connecting lines don't clearly show a single sequential flow from Start to End. Flowchart 3 (image) uses plain double-headed lines instead of directional arrows between the decision, output, and end shapes, so the direction of flow is not clearly indicated -- a symbol-usage issue.</t>
  </si>
  <si>
    <t xml:space="preserve">PAPA, ADRIAN  A.</t>
  </si>
  <si>
    <t xml:space="preserve">https://github.com/PAPAPYTHON18/CPP102-WEEK2-PAPA.git</t>
  </si>
  <si>
    <t xml:space="preserve">PAPAPYTHON18/CPP102-WEEK2-PAPA</t>
  </si>
  <si>
    <t xml:space="preserve">README.md, problem1_algorithm.txt, pseudocode1.txt, flowchart1.md, flowchart2.md, flowchart3.md</t>
  </si>
  <si>
    <t xml:space="preserve">Algorithm and pseudocode correctly and clearly cover all 3 activities (add two numbers, average of three, even/odd), combined into single files rather than separated by activity. All 3 flowchart files (flowchart1.md, flowchart2.md, flowchart3.md) are completely empty -- no flowchart content exists at all, a major gap given Flowchart is the largest single rubric category.</t>
  </si>
  <si>
    <t xml:space="preserve">PARUNGAO, CARL MOSES  K.</t>
  </si>
  <si>
    <t xml:space="preserve">https://github.com/crlmss08-dev/cpp102-week2-parungao.git</t>
  </si>
  <si>
    <t xml:space="preserve">crlmss08-dev/cpp102-week2-parungao</t>
  </si>
  <si>
    <t xml:space="preserve">README.md, Alogorithm.txt, Pseudocode.txt, flowchart1.png, flowchart2.png, flowchart3.png</t>
  </si>
  <si>
    <t xml:space="preserve">Algorithm, pseudocode, and flowcharts (submitted as neatly illustrated images, verified) are correct and consistent for all 3 activities. The algorithm file is named 'Alogorithm.txt' (typo). pseudocode.txt Activity 3 writes 'END' instead of 'END IF' before the final END, a minor pseudocode-convention slip. Git history shows the repository's only commit was authored and committed under the name 'Franzel Tipon,' not Parungao -- notably, the same name appears as the sole author of a different student's repository in another section. See Manual Review note.</t>
  </si>
  <si>
    <t xml:space="preserve">PEÑASCOSAS, JOHN MATTHEW</t>
  </si>
  <si>
    <t xml:space="preserve">https://github.com/penascosasldmg9/CPP-WEEK2-PENASCOSAS.git</t>
  </si>
  <si>
    <t xml:space="preserve">A link was submitted (https://github.com/penascosasldmg9/CPP-WEEK2-PENASCOSAS.git) and the GitHub owner account exists, but the specific repository name returns a 404. This may be a typo in the repository name, a renamed/deleted repository, or a private repository -- these cannot be distinguished without contacting the student. Do not assume a zero; please verify directly with the student.</t>
  </si>
  <si>
    <t xml:space="preserve">PEREZ, RAM VINCENT  B.</t>
  </si>
  <si>
    <t xml:space="preserve">https://github.com/perezramvincent-hue/cpp102-week2-perez.git</t>
  </si>
  <si>
    <t xml:space="preserve">perezramvincent-hue/cpp102-week2-perez</t>
  </si>
  <si>
    <t xml:space="preserve">README.md, Algorithm.txt, pseudocode.txt, Flowchart1.md, Flowchart2.md, Flowchart3.md</t>
  </si>
  <si>
    <t xml:space="preserve">Commit(s) present (2) but none attributable to this student -- see comments</t>
  </si>
  <si>
    <t xml:space="preserve">Algorithm and pseudocode are correct and consistent for all 3 activities. flowchart2's formula 'average = score1 + score2 + score3 / 3' is missing parentheses, a real order-of-operations error. The README's course/activity title ('Introduction to Python, Git, and GitHub') does not match the actual assignment -- the same mismatched template text also appears in another student's README in this section (Geluz). Git history shows both commits were authored and committed under a different student's name and account (matching section A student De Vera), not Perez. See Manual Review note.</t>
  </si>
  <si>
    <t xml:space="preserve">PIZARRO, JON DANIELLE  G.</t>
  </si>
  <si>
    <t xml:space="preserve">https://github.com/Danielle071308/cpp102-week2-pizarro.git</t>
  </si>
  <si>
    <t xml:space="preserve">Danielle071308/cpp102-week2-pizarro</t>
  </si>
  <si>
    <t xml:space="preserve">Only Activity 1 (Add Two Numbers) has real content in algorithm.txt and pseudocode.txt -- the Activity 2 and Activity 3 sections are present as headers only, with no content underneath. README.md exists but is completely empty -- no reflection at all. flowchart1.md contains three Mermaid blocks: the first correctly covers Activity 1, but the second and third are exact duplicates of each other showing an unrelated Pass/Fail scenario -- not Activities 2 or 3. flowchart2.md and flowchart3.md are both empty. Git history shows the repository's only commit was authored and committed under an email address (erltenorio049@gmail.com) that matches a different student's commit identity in another section (Obidos). See Manual Review note.</t>
  </si>
  <si>
    <t xml:space="preserve">RAPANOT, ADRIAN  P.</t>
  </si>
  <si>
    <t xml:space="preserve">https://github.com/AdrianRapanot/cpp102-week2-rapanot.git</t>
  </si>
  <si>
    <t xml:space="preserve">AdrianRapanot/cpp102-week2-rapanot</t>
  </si>
  <si>
    <t xml:space="preserve">problem1_algorithym.txt, problem1_pseudocode.txt, flowchart2.md, flowchart3.md, problem1_flowchart.md</t>
  </si>
  <si>
    <t xml:space="preserve">Algorithm, pseudocode, and flowcharts are correct and consistent for all 3 activities (pass/fail, positive/negative, average of three grades). The README file is named 'READ.md' instead of 'README.md', so GitHub will not automatically display it on the repository's main page. File naming is inconsistent across the three required categories ('problem1_algorithym.txt', 'problem1_flowchart.md' plus separately named 'flowchart2.md'/'flowchart3.md'), making the submission harder to navigate.</t>
  </si>
  <si>
    <t xml:space="preserve">REFORSADO, HEYDEN  D.</t>
  </si>
  <si>
    <t xml:space="preserve">https://github.com/Denden190/cpp102-week2-Reforsado.git</t>
  </si>
  <si>
    <t xml:space="preserve">Denden190/cpp102-week2-Reforsado</t>
  </si>
  <si>
    <t xml:space="preserve">problem1_algorithm.txt, problem1_pseudocode.txt, flowchart1, flowchart2, flowchart3, problem1_flowchart.md</t>
  </si>
  <si>
    <t xml:space="preserve">The README file is named 'READ.md' instead of 'README.md'. Three extra files named 'flowchart1', 'flowchart2', 'flowchart3' (no extension) are only 182-207 bytes each -- essentially non-functional placeholders. The real flowchart content lives in a separate file, 'problem1_flowchart.md'. In that file, the Add Two Numbers box reads 'sum + num2' instead of 'sum = num1 + num2' -- missing 'num1 =', a real error in the diagram text. Algorithm/pseudocode are otherwise correct and consistent for all 3 activities.</t>
  </si>
  <si>
    <t xml:space="preserve">REJANO, GEM KELLY  B.</t>
  </si>
  <si>
    <t xml:space="preserve">https://github.com/gemborejano-ai/cpp102-week2-rejano.git</t>
  </si>
  <si>
    <t xml:space="preserve">gemborejano-ai/cpp102-week2-rejano</t>
  </si>
  <si>
    <t xml:space="preserve">README.md, problem1_algorithm.txt, problem1_pseudocode.txt, problem1_flowchart.md</t>
  </si>
  <si>
    <t xml:space="preserve">Mixed: 1/2 commits local, but not all attributable to this student -- see comments</t>
  </si>
  <si>
    <t xml:space="preserve">pseudocode.txt correctly divides by 3 for the average, but algorithm.txt's average step reads 'Compute average = (score1 + score2 + score 3).' -- missing the '/3' -- so as written it computes a sum, not an average. problem1_flowchart.md has a bracket mismatch in the Activity 2 diagram ('Input score3/]' opens with '[' but closes with '/]'), which may cause a Mermaid syntax error. Git history shows the commit that actually added the algorithm/pseudocode/flowchart content was authored and committed under a different student's name and account (Montejo, also in this section) -- the student's own account only made a later, separate edit to the README via the GitHub website. See Manual Review note.</t>
  </si>
  <si>
    <t xml:space="preserve">SADICON, ARRIAN  F.</t>
  </si>
  <si>
    <t xml:space="preserve">https://github.com/Arrian13/cpp102-week2-Sadicon.git</t>
  </si>
  <si>
    <t xml:space="preserve">Arrian13/cpp102-week2-Sadicon</t>
  </si>
  <si>
    <t xml:space="preserve">New folder/README.md, New folder/algorithm.txt, New folder/pseudocode.txt, New folder/flowchart1.md, New folder/flowchart2.md, New folder/flowchart3.md</t>
  </si>
  <si>
    <t xml:space="preserve">All files are nested inside a stray 'New folder/' directory rather than the repository root. Algorithm, pseudocode, and flowchart content is nearly identical (including the same typos and the same missing '/3' average bug) to another student's submission in this section (Palentinos). See Manual Review note. flowchart2.md and flowchart3.md use "'''mermaid" instead of proper triple-backtick fences and will likely not render on GitHub. flowchart3.md is structurally broken: the decision node is never properly defined before its Yes/No branches are drawn. The student's own git history for this repository is 100% local commits under their own name; separately, this student's name also appears as a commit author on the other matching student's repository (Palentinos).</t>
  </si>
  <si>
    <t xml:space="preserve">SAN DIEGO, ROVIC  B.</t>
  </si>
  <si>
    <t xml:space="preserve">no work submitted</t>
  </si>
  <si>
    <t xml:space="preserve">No Link Provided</t>
  </si>
  <si>
    <t xml:space="preserve">Not Submitted</t>
  </si>
  <si>
    <t xml:space="preserve">None</t>
  </si>
  <si>
    <t xml:space="preserve">No work submitted.</t>
  </si>
  <si>
    <t xml:space="preserve">SARMIENTO, CHARLES  R.</t>
  </si>
  <si>
    <t xml:space="preserve">https://github.com/Astig4ako/CPP102-week2-Sarmiento.git</t>
  </si>
  <si>
    <t xml:space="preserve">Astig4ako/CPP102-week2-Sarmiento</t>
  </si>
  <si>
    <t xml:space="preserve">Sarmiento-algorithm.txt, Sarmiento-pseudocode.txt, Sarmiento-flowchart1.md, Sarmiento-flowchart2.md, Sarmiento-flowchart3.md</t>
  </si>
  <si>
    <t xml:space="preserve">Algorithm, pseudocode, and flowcharts are correct and consistent for all 3 activities. No standard README.md exists -- the reflection is saved as 'Sarmiento-README.md', which GitHub will not automatically display as the repository's main page.</t>
  </si>
  <si>
    <t xml:space="preserve">SISCON, JEZIEL  A.</t>
  </si>
  <si>
    <t xml:space="preserve">https://github.com/jeziel-08/cpp102-week2-Siscon.git</t>
  </si>
  <si>
    <t xml:space="preserve">jeziel-08/cpp102-week2-Siscon</t>
  </si>
  <si>
    <t xml:space="preserve">README.md, algorithm.txt, pseudocode.txt, flowchart2.md</t>
  </si>
  <si>
    <t xml:space="preserve">flowchart1.md and flowchart3.md do not exist in the repository at all -- only flowchart2.md (Average) is present, meaning 2 of the 3 required flowcharts are completely missing. algorithm.txt's average step reads 'Compute average = (score1 + score2 + score 3).' -- missing the '/3' -- the same specific error found in another student's algorithm.txt in this section (Rejano). See Manual Review note. pseudocode.txt correctly includes the '/3' division. Git history shows the repository's only commit was authored and committed under a different person's name and email (Zechriel Nicolaus D. Evangelista), not Siscon.</t>
  </si>
  <si>
    <t xml:space="preserve">TATLONGHARI, JOSHUA  C.</t>
  </si>
  <si>
    <t xml:space="preserve">https://github.com/urjosh-hub/CPP102-Week2-Tatlonghari.git</t>
  </si>
  <si>
    <t xml:space="preserve">urjosh-hub/CPP102-Week2-Tatlonghari</t>
  </si>
  <si>
    <t xml:space="preserve">algorithm.txt, pseudocode.txt, flowchart1.md, flowchart2.md</t>
  </si>
  <si>
    <t xml:space="preserve">All submitted files (algorithm.txt, pseudocode.txt, flowchart1.md, flowchart2.md, flowchar3.md) are completely empty, and no README.md exists at all -- no actual algorithm, pseudocode, flowchart, or reflection content was submitted, despite the repository and commit existing. Git history shows the repository's only commit was authored and committed under a different student's name and account (matching section A student Gumpal), not Tatlonghari. See Manual Review note.</t>
  </si>
  <si>
    <t xml:space="preserve">TRINIDAD, SHAWNKYLE  P.</t>
  </si>
  <si>
    <t xml:space="preserve">https://github.com/isaiahkyll/cpp102-week2-trinidad.git</t>
  </si>
  <si>
    <t xml:space="preserve">isaiahkyll/cpp102-week2-trinidad</t>
  </si>
  <si>
    <t xml:space="preserve">All submitted files (algorithm.txt, pseudocode.txt, flowchart1-3.md, README.md) are completely empty -- no actual content was submitted, despite the repository and commit existing. Git history shows the repository's only commit was authored and committed under a different student's name and account (matching a name also found authoring a section A student's repository). See Manual Review note.</t>
  </si>
  <si>
    <t xml:space="preserve">VILLANUEVA, UAN GABRIEL  D.</t>
  </si>
  <si>
    <t xml:space="preserve">VILLAPANDO, EVESON  A.</t>
  </si>
  <si>
    <t xml:space="preserve">https://github.com/evesonvillapando570-cpu/cpp102-week2-VILLAPANDO.git</t>
  </si>
  <si>
    <t xml:space="preserve">evesonvillapando570-cpu/cpp102-week2-VILLAPANDO</t>
  </si>
  <si>
    <t xml:space="preserve">README.MD, algorithm.txt, pseudocode, pseudocode.txt, flowchart1.md, flowchart2.md, flowchart3.md</t>
  </si>
  <si>
    <t xml:space="preserve">Mixed: 2/4 commits local, but not all attributable to this student -- see comments</t>
  </si>
  <si>
    <t xml:space="preserve">algorithm.txt describes Activities 1-3 as Add Two Numbers, Sum of Three Scores, and Even/Odd, but pseudocode.txt describes a different set -- Add Two Numbers, Pass/Fail, and Positive/Negative -- for Activities 2 and 3. The two documents don't describe the same activities. pseudocode.txt is also run together with no line breaks between statements, making it hard to read. flowchart2.md (Pass/Fail) and flowchart3.md (Even/Odd) each match only one of the two conflicting activity sets, adding to the inconsistency. An extra file named 'pseudocode' (a small image, separate from pseudocode.txt) exists without explanation. Git history shows the student's own account made only two administrative actions via the GitHub website (initial commit, deleting a README) -- the two commits that actually added the algorithm/pseudocode/flowchart content were authored and committed under a different student's name and account (matching section A student Quejada). See Manual Review note.</t>
  </si>
  <si>
    <t xml:space="preserve">CPP102 (Section 1CPE-B) - Laboratory 1 (Week 2: Algorithm, Pseudocode, and Flowchart) Assessment: Summary</t>
  </si>
  <si>
    <t xml:space="preserve">Metric</t>
  </si>
  <si>
    <t xml:space="preserve">Value</t>
  </si>
  <si>
    <t xml:space="preserve">Total number of students</t>
  </si>
  <si>
    <t xml:space="preserve">Number of submitted assessments</t>
  </si>
  <si>
    <t xml:space="preserve">Number of incomplete submissions</t>
  </si>
  <si>
    <t xml:space="preserve">Number of students with no submission</t>
  </si>
  <si>
    <t xml:space="preserve">Number of inaccessible repositories</t>
  </si>
  <si>
    <t xml:space="preserve">Number requiring manual review</t>
  </si>
  <si>
    <t xml:space="preserve">Class average (Total Score)</t>
  </si>
  <si>
    <t xml:space="preserve">Highest score</t>
  </si>
  <si>
    <t xml:space="preserve">Lowest score</t>
  </si>
  <si>
    <t xml:space="preserve">Grade Distribution</t>
  </si>
  <si>
    <t xml:space="preserve">Count</t>
  </si>
  <si>
    <t xml:space="preserve">1.00</t>
  </si>
  <si>
    <t xml:space="preserve">1.25</t>
  </si>
  <si>
    <t xml:space="preserve">1.50</t>
  </si>
  <si>
    <t xml:space="preserve">1.75</t>
  </si>
  <si>
    <t xml:space="preserve">2.00</t>
  </si>
  <si>
    <t xml:space="preserve">2.25</t>
  </si>
  <si>
    <t xml:space="preserve">2.50</t>
  </si>
  <si>
    <t xml:space="preserve">2.75</t>
  </si>
  <si>
    <t xml:space="preserve">3.00</t>
  </si>
  <si>
    <t xml:space="preserve">5.00</t>
  </si>
  <si>
    <t xml:space="preserve">Number requiring manual review, by reason</t>
  </si>
  <si>
    <t xml:space="preserve">Possible cross-student authorship / content similarity (see Comments)</t>
  </si>
  <si>
    <t xml:space="preserve">Repository inaccessible (owner exists, repo name 404s)</t>
  </si>
  <si>
    <t xml:space="preserve">Note on methodology</t>
  </si>
  <si>
    <t xml:space="preserve">Scored against the assignment's actual rubric: Input-Process-Output Analysis (15), Algorithm Correctness and Clarity (20), Pseudocode Correctness and Readability (20), Flowchart Correctness and Symbol Usage (25), Git Commit Evidence and File Organization (10), Completeness/Neatness/README Reflection (10). Each of the three required activities was checked for internal consistency and mathematical/logical correctness across the algorithm, pseudocode, and flowchart files (not just presence). Common issues deducted for: formulas missing required operations (e.g. average computed without dividing by 3, or written without parentheses so order of operations changes the result), undefined/mismatched variable names, activities that don't correspond across the three artifact types, broken/empty/missing files, and invalid Mermaid flowchart syntax. Git Commit Evidence reflects the committer field of each commit (GitHub's website always commits as 'GitHub &lt;noreply@github.com&gt;', which is a stronger signal than commit message wording). During this pass, a cross-section authorship check found several repositories in this section where the git history and/or submitted file content is attributable to a different, identifiable student rather than the student of record -- in some cases matching students in section 1CPE-A. These are marked Manual Review Required with the specific factual finding noted in Comments; no plagiarism accusation is made and no grade was zeroed out automatically. A cluster of 11 students sharing one simple, near-identical flowchart image/template was judged as likely benign template convergence (consistent with a similar cluster observed in section 1CPE-A) and was not flagged on that basis alone.</t>
  </si>
</sst>
</file>

<file path=xl/styles.xml><?xml version="1.0" encoding="utf-8"?>
<styleSheet xmlns="http://schemas.openxmlformats.org/spreadsheetml/2006/main">
  <numFmts count="2">
    <numFmt numFmtId="164" formatCode="General"/>
    <numFmt numFmtId="165" formatCode="0.00"/>
  </numFmts>
  <fonts count="13">
    <font>
      <sz val="12"/>
      <color theme="1"/>
      <name val="Aptos Narrow"/>
      <family val="2"/>
      <charset val="1"/>
    </font>
    <font>
      <sz val="10"/>
      <name val="Arial"/>
      <family val="0"/>
    </font>
    <font>
      <sz val="10"/>
      <name val="Arial"/>
      <family val="0"/>
    </font>
    <font>
      <sz val="10"/>
      <name val="Arial"/>
      <family val="0"/>
    </font>
    <font>
      <b val="true"/>
      <sz val="10"/>
      <color rgb="FF000000"/>
      <name val="Helvetica Neue"/>
      <family val="2"/>
      <charset val="1"/>
    </font>
    <font>
      <b val="true"/>
      <sz val="10"/>
      <color rgb="FF000000"/>
      <name val="Helvetica Neue"/>
      <family val="0"/>
      <charset val="1"/>
    </font>
    <font>
      <sz val="10"/>
      <color rgb="FF000000"/>
      <name val="Helvetica Neue"/>
      <family val="2"/>
      <charset val="1"/>
    </font>
    <font>
      <u val="single"/>
      <sz val="12"/>
      <color theme="10"/>
      <name val="Aptos Narrow"/>
      <family val="2"/>
      <charset val="1"/>
    </font>
    <font>
      <sz val="10"/>
      <name val="Helvetica Neue"/>
      <family val="0"/>
      <charset val="1"/>
    </font>
    <font>
      <b val="true"/>
      <sz val="13"/>
      <name val="Helvetica Neue"/>
      <family val="0"/>
      <charset val="1"/>
    </font>
    <font>
      <b val="true"/>
      <sz val="10"/>
      <color rgb="FFFFFFFF"/>
      <name val="Helvetica Neue"/>
      <family val="0"/>
      <charset val="1"/>
    </font>
    <font>
      <b val="true"/>
      <sz val="10"/>
      <name val="Helvetica Neue"/>
      <family val="0"/>
      <charset val="1"/>
    </font>
    <font>
      <i val="true"/>
      <sz val="9"/>
      <name val="Helvetica Neue"/>
      <family val="0"/>
      <charset val="1"/>
    </font>
  </fonts>
  <fills count="4">
    <fill>
      <patternFill patternType="none"/>
    </fill>
    <fill>
      <patternFill patternType="gray125"/>
    </fill>
    <fill>
      <patternFill patternType="solid">
        <fgColor rgb="FFFCE8B2"/>
        <bgColor rgb="FFFFFFCC"/>
      </patternFill>
    </fill>
    <fill>
      <patternFill patternType="solid">
        <fgColor rgb="FF1F4E78"/>
        <bgColor rgb="FF003366"/>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2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5" fontId="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FCE8B2"/>
          <bgColor rgb="FF000000"/>
        </patternFill>
      </fill>
    </dxf>
    <dxf>
      <fill>
        <patternFill patternType="solid">
          <bgColor rgb="FF000000"/>
        </patternFill>
      </fill>
    </dxf>
    <dxf>
      <fill>
        <patternFill patternType="solid">
          <fgColor rgb="FF000000"/>
          <bgColor rgb="FF000000"/>
        </patternFill>
      </fill>
    </dxf>
    <dxf>
      <fill>
        <patternFill patternType="solid">
          <fgColor rgb="FF46788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8B2"/>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charlslesterabarte/cpp101-week2-ABARTE.git" TargetMode="External"/><Relationship Id="rId2" Type="http://schemas.openxmlformats.org/officeDocument/2006/relationships/hyperlink" Target="https://github.com/crong-max/CPP-WEEK2-ALJECERA.git" TargetMode="External"/><Relationship Id="rId3" Type="http://schemas.openxmlformats.org/officeDocument/2006/relationships/hyperlink" Target="https://github.com/Drinns/ccp102-week2-anore.git" TargetMode="External"/><Relationship Id="rId4" Type="http://schemas.openxmlformats.org/officeDocument/2006/relationships/hyperlink" Target="https://github.com/desbrn/cpp102-week2-baron.git" TargetMode="External"/><Relationship Id="rId5" Type="http://schemas.openxmlformats.org/officeDocument/2006/relationships/hyperlink" Target="https://github.com/SeanYronBaui/cpp102-week2-BAUI" TargetMode="External"/><Relationship Id="rId6" Type="http://schemas.openxmlformats.org/officeDocument/2006/relationships/hyperlink" Target="https://github.com/chikiezienathanbonifacio/CPP102-WEEK-2-Bonifacio.git" TargetMode="External"/><Relationship Id="rId7" Type="http://schemas.openxmlformats.org/officeDocument/2006/relationships/hyperlink" Target="https://github.com/BorrasIII/CPP-102-Borras.git" TargetMode="External"/><Relationship Id="rId8" Type="http://schemas.openxmlformats.org/officeDocument/2006/relationships/hyperlink" Target="https://github.com/calimagtartjarcel-create/calimagtartjarcel-create-cpp102-week2-calimag.git" TargetMode="External"/><Relationship Id="rId9" Type="http://schemas.openxmlformats.org/officeDocument/2006/relationships/hyperlink" Target="https://github.com/carlo0022/cpp102-week2-coldas.git" TargetMode="External"/><Relationship Id="rId10" Type="http://schemas.openxmlformats.org/officeDocument/2006/relationships/hyperlink" Target="https://github.com/marjiee4/CPP-Week-2---Cosadio.git" TargetMode="External"/><Relationship Id="rId11" Type="http://schemas.openxmlformats.org/officeDocument/2006/relationships/hyperlink" Target="https://github.com/benedick1654321-bot/cpp102-week2-Coz.git" TargetMode="External"/><Relationship Id="rId12" Type="http://schemas.openxmlformats.org/officeDocument/2006/relationships/hyperlink" Target="https://github.com/python680/CPP102-WEEK2-CRUZADO.git" TargetMode="External"/><Relationship Id="rId13" Type="http://schemas.openxmlformats.org/officeDocument/2006/relationships/hyperlink" Target="https://github.com/joshdanseco-bit/CPP102-WEEK2.Danseco-josh.git" TargetMode="External"/><Relationship Id="rId14" Type="http://schemas.openxmlformats.org/officeDocument/2006/relationships/hyperlink" Target="https://github.com/KentDiaz/cpp102-week2-diaz.git" TargetMode="External"/><Relationship Id="rId15" Type="http://schemas.openxmlformats.org/officeDocument/2006/relationships/hyperlink" Target="https://github.com/ralphhp/cpp102-week2-diaz.git" TargetMode="External"/><Relationship Id="rId16" Type="http://schemas.openxmlformats.org/officeDocument/2006/relationships/hyperlink" Target="https://github.com/francesdictado25-max/CPP102-week2-Dictado.git" TargetMode="External"/><Relationship Id="rId17" Type="http://schemas.openxmlformats.org/officeDocument/2006/relationships/hyperlink" Target="https://github.com/Flores0123/cpp102-week2-Flores.git" TargetMode="External"/><Relationship Id="rId18" Type="http://schemas.openxmlformats.org/officeDocument/2006/relationships/hyperlink" Target="https://github.com/andreafulgar895-alt/cpp102-week2-fulgar.git" TargetMode="External"/><Relationship Id="rId19" Type="http://schemas.openxmlformats.org/officeDocument/2006/relationships/hyperlink" Target="https://github.com/xiilly/cpp102-week2-geluz.git" TargetMode="External"/><Relationship Id="rId20" Type="http://schemas.openxmlformats.org/officeDocument/2006/relationships/hyperlink" Target="https://github.com/zpyxy1/cpp102-week2-gerona.git" TargetMode="External"/><Relationship Id="rId21" Type="http://schemas.openxmlformats.org/officeDocument/2006/relationships/hyperlink" Target="https://github.com/cperenz/cpp102--week2-guillen.git" TargetMode="External"/><Relationship Id="rId22" Type="http://schemas.openxmlformats.org/officeDocument/2006/relationships/hyperlink" Target="https://github.com/fabithecpe/cpp102-week2-JAOS.git" TargetMode="External"/><Relationship Id="rId23" Type="http://schemas.openxmlformats.org/officeDocument/2006/relationships/hyperlink" Target="https://github.com/albuunak/CPP102-WEEK2-B-LAGARAS.git" TargetMode="External"/><Relationship Id="rId24" Type="http://schemas.openxmlformats.org/officeDocument/2006/relationships/hyperlink" Target="https://github.com/jalexilayola-cyber/cpp102-week2-layola.git" TargetMode="External"/><Relationship Id="rId25" Type="http://schemas.openxmlformats.org/officeDocument/2006/relationships/hyperlink" Target="https://github.com/migs1130/cpp-week2-Maigue.git" TargetMode="External"/><Relationship Id="rId26" Type="http://schemas.openxmlformats.org/officeDocument/2006/relationships/hyperlink" Target="https://github.com/Lalalanoname/cpp102-week2-Montejo.git" TargetMode="External"/><Relationship Id="rId27" Type="http://schemas.openxmlformats.org/officeDocument/2006/relationships/hyperlink" Target="https://github.com/cristineoctavo/cpp102-week2-octavo.git" TargetMode="External"/><Relationship Id="rId28" Type="http://schemas.openxmlformats.org/officeDocument/2006/relationships/hyperlink" Target="https://github.com/palentinosariesgeof-blip/cpp102-week2-palentinos.git" TargetMode="External"/><Relationship Id="rId29" Type="http://schemas.openxmlformats.org/officeDocument/2006/relationships/hyperlink" Target="https://github.com/NaYTaNiel/cpp102-week2-Panganiban.git" TargetMode="External"/><Relationship Id="rId30" Type="http://schemas.openxmlformats.org/officeDocument/2006/relationships/hyperlink" Target="https://github.com/PAPAPYTHON18/CPP102-WEEK2-PAPA.git" TargetMode="External"/><Relationship Id="rId31" Type="http://schemas.openxmlformats.org/officeDocument/2006/relationships/hyperlink" Target="https://github.com/crlmss08-dev/cpp102-week2-parungao.git" TargetMode="External"/><Relationship Id="rId32" Type="http://schemas.openxmlformats.org/officeDocument/2006/relationships/hyperlink" Target="https://github.com/penascosasldmg9/CPP-WEEK2-PENASCOSAS.git" TargetMode="External"/><Relationship Id="rId33" Type="http://schemas.openxmlformats.org/officeDocument/2006/relationships/hyperlink" Target="https://github.com/perezramvincent-hue/cpp102-week2-perez.git" TargetMode="External"/><Relationship Id="rId34" Type="http://schemas.openxmlformats.org/officeDocument/2006/relationships/hyperlink" Target="https://github.com/Danielle071308/cpp102-week2-pizarro.git" TargetMode="External"/><Relationship Id="rId35" Type="http://schemas.openxmlformats.org/officeDocument/2006/relationships/hyperlink" Target="https://github.com/AdrianRapanot/cpp102-week2-rapanot.git" TargetMode="External"/><Relationship Id="rId36" Type="http://schemas.openxmlformats.org/officeDocument/2006/relationships/hyperlink" Target="https://github.com/Denden190/cpp102-week2-Reforsado.git" TargetMode="External"/><Relationship Id="rId37" Type="http://schemas.openxmlformats.org/officeDocument/2006/relationships/hyperlink" Target="https://github.com/gemborejano-ai/cpp102-week2-rejano.git" TargetMode="External"/><Relationship Id="rId38" Type="http://schemas.openxmlformats.org/officeDocument/2006/relationships/hyperlink" Target="https://github.com/Arrian13/cpp102-week2-Sadicon.git" TargetMode="External"/><Relationship Id="rId39" Type="http://schemas.openxmlformats.org/officeDocument/2006/relationships/hyperlink" Target="https://github.com/Astig4ako/CPP102-week2-Sarmiento.git" TargetMode="External"/><Relationship Id="rId40" Type="http://schemas.openxmlformats.org/officeDocument/2006/relationships/hyperlink" Target="https://github.com/jeziel-08/cpp102-week2-Siscon.git" TargetMode="External"/><Relationship Id="rId41" Type="http://schemas.openxmlformats.org/officeDocument/2006/relationships/hyperlink" Target="https://github.com/urjosh-hub/CPP102-Week2-Tatlonghari.git" TargetMode="External"/><Relationship Id="rId42" Type="http://schemas.openxmlformats.org/officeDocument/2006/relationships/hyperlink" Target="https://github.com/isaiahkyll/cpp102-week2-trinidad.git" TargetMode="External"/><Relationship Id="rId43" Type="http://schemas.openxmlformats.org/officeDocument/2006/relationships/hyperlink" Target="https://github.com/evesonvillapando570-cpu/cpp102-week2-VILLAPANDO.git" TargetMode="External"/><Relationship Id="rId4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6"/>
  <sheetViews>
    <sheetView showFormulas="false" showGridLines="true" showRowColHeaders="true" showZeros="true" rightToLeft="false" tabSelected="true" showOutlineSymbols="true" defaultGridColor="true" view="normal" topLeftCell="A26" colorId="64" zoomScale="150" zoomScaleNormal="150" zoomScalePageLayoutView="100" workbookViewId="0">
      <pane xSplit="0" ySplit="1" topLeftCell="A2" activePane="bottomLeft" state="frozen"/>
      <selection pane="topLeft" activeCell="A26" activeCellId="0" sqref="A26"/>
      <selection pane="bottomLeft" activeCell="F36" activeCellId="0" sqref="F36"/>
    </sheetView>
  </sheetViews>
  <sheetFormatPr defaultColWidth="10.4921875" defaultRowHeight="15.75" customHeight="false" zeroHeight="false" outlineLevelRow="0" outlineLevelCol="0"/>
  <cols>
    <col collapsed="false" customWidth="true" hidden="false" outlineLevel="0" max="1" min="1" style="0" width="8.33"/>
    <col collapsed="false" customWidth="true" hidden="false" outlineLevel="0" max="2" min="2" style="0" width="13"/>
    <col collapsed="false" customWidth="true" hidden="false" outlineLevel="0" max="3" min="3" style="0" width="39"/>
    <col collapsed="false" customWidth="true" hidden="false" outlineLevel="0" max="4" min="4" style="0" width="61.5"/>
    <col collapsed="false" customWidth="true" hidden="false" outlineLevel="0" max="5" min="5" style="0" width="16"/>
    <col collapsed="false" customWidth="true" hidden="false" outlineLevel="0" max="6" min="6" style="0" width="15"/>
    <col collapsed="false" customWidth="true" hidden="false" outlineLevel="0" max="7" min="7" style="0" width="32"/>
    <col collapsed="false" customWidth="true" hidden="false" outlineLevel="0" max="8" min="8" style="0" width="38"/>
    <col collapsed="false" customWidth="true" hidden="false" outlineLevel="0" max="9" min="9" style="0" width="34"/>
    <col collapsed="false" customWidth="true" hidden="false" outlineLevel="0" max="11" min="10" style="0" width="16"/>
    <col collapsed="false" customWidth="true" hidden="false" outlineLevel="0" max="14" min="12" style="0" width="17"/>
    <col collapsed="false" customWidth="true" hidden="false" outlineLevel="0" max="15" min="15" style="0" width="18"/>
    <col collapsed="false" customWidth="true" hidden="false" outlineLevel="0" max="16" min="16" style="0" width="12"/>
    <col collapsed="false" customWidth="true" hidden="false" outlineLevel="0" max="17" min="17" style="0" width="9"/>
    <col collapsed="false" customWidth="true" hidden="false" outlineLevel="0" max="18" min="18" style="0" width="65"/>
    <col collapsed="false" customWidth="true" hidden="false" outlineLevel="0" max="19" min="19" style="0" width="14"/>
  </cols>
  <sheetData>
    <row r="1" customFormat="false" ht="15.75" hidden="false" customHeight="false" outlineLevel="0" collapsed="false">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75" hidden="false" customHeight="true" outlineLevel="0" collapsed="false">
      <c r="A2" s="1" t="n">
        <v>1</v>
      </c>
      <c r="B2" s="3" t="n">
        <v>2601361</v>
      </c>
      <c r="C2" s="3" t="s">
        <v>19</v>
      </c>
      <c r="D2" s="4" t="s">
        <v>20</v>
      </c>
      <c r="E2" s="5" t="s">
        <v>21</v>
      </c>
      <c r="F2" s="5" t="s">
        <v>22</v>
      </c>
      <c r="G2" s="5" t="s">
        <v>23</v>
      </c>
      <c r="H2" s="5" t="s">
        <v>24</v>
      </c>
      <c r="I2" s="5" t="s">
        <v>25</v>
      </c>
      <c r="J2" s="5" t="n">
        <v>0</v>
      </c>
      <c r="K2" s="5" t="n">
        <v>0</v>
      </c>
      <c r="L2" s="5" t="n">
        <v>0</v>
      </c>
      <c r="M2" s="5" t="n">
        <v>0</v>
      </c>
      <c r="N2" s="5" t="n">
        <v>9</v>
      </c>
      <c r="O2" s="5" t="n">
        <v>0</v>
      </c>
      <c r="P2" s="5" t="n">
        <v>9</v>
      </c>
      <c r="Q2" s="6" t="n">
        <v>5</v>
      </c>
      <c r="R2" s="7" t="s">
        <v>26</v>
      </c>
      <c r="S2" s="5" t="s">
        <v>27</v>
      </c>
    </row>
    <row r="3" customFormat="false" ht="75" hidden="false" customHeight="true" outlineLevel="0" collapsed="false">
      <c r="A3" s="1" t="n">
        <v>2</v>
      </c>
      <c r="B3" s="3" t="n">
        <v>2601338</v>
      </c>
      <c r="C3" s="3" t="s">
        <v>28</v>
      </c>
      <c r="D3" s="4" t="s">
        <v>29</v>
      </c>
      <c r="E3" s="5" t="s">
        <v>21</v>
      </c>
      <c r="F3" s="5" t="s">
        <v>22</v>
      </c>
      <c r="G3" s="5" t="s">
        <v>30</v>
      </c>
      <c r="H3" s="5" t="s">
        <v>24</v>
      </c>
      <c r="I3" s="5" t="s">
        <v>25</v>
      </c>
      <c r="J3" s="5" t="n">
        <v>13</v>
      </c>
      <c r="K3" s="5" t="n">
        <v>19</v>
      </c>
      <c r="L3" s="5" t="n">
        <v>19</v>
      </c>
      <c r="M3" s="5" t="n">
        <v>16</v>
      </c>
      <c r="N3" s="5" t="n">
        <v>9</v>
      </c>
      <c r="O3" s="5" t="n">
        <v>8</v>
      </c>
      <c r="P3" s="5" t="n">
        <v>84</v>
      </c>
      <c r="Q3" s="6" t="n">
        <v>1.75</v>
      </c>
      <c r="R3" s="7" t="s">
        <v>31</v>
      </c>
      <c r="S3" s="5" t="s">
        <v>27</v>
      </c>
    </row>
    <row r="4" customFormat="false" ht="75" hidden="false" customHeight="true" outlineLevel="0" collapsed="false">
      <c r="A4" s="1" t="n">
        <v>3</v>
      </c>
      <c r="B4" s="3" t="n">
        <v>2601318</v>
      </c>
      <c r="C4" s="3" t="s">
        <v>32</v>
      </c>
      <c r="D4" s="4" t="s">
        <v>33</v>
      </c>
      <c r="E4" s="5" t="s">
        <v>21</v>
      </c>
      <c r="F4" s="5" t="s">
        <v>22</v>
      </c>
      <c r="G4" s="5" t="s">
        <v>34</v>
      </c>
      <c r="H4" s="5" t="s">
        <v>24</v>
      </c>
      <c r="I4" s="5" t="s">
        <v>25</v>
      </c>
      <c r="J4" s="5" t="n">
        <v>11</v>
      </c>
      <c r="K4" s="5" t="n">
        <v>17</v>
      </c>
      <c r="L4" s="5" t="n">
        <v>17</v>
      </c>
      <c r="M4" s="5" t="n">
        <v>15</v>
      </c>
      <c r="N4" s="5" t="n">
        <v>9</v>
      </c>
      <c r="O4" s="5" t="n">
        <v>7</v>
      </c>
      <c r="P4" s="5" t="n">
        <v>76</v>
      </c>
      <c r="Q4" s="6" t="n">
        <v>2.25</v>
      </c>
      <c r="R4" s="7" t="s">
        <v>35</v>
      </c>
      <c r="S4" s="5" t="s">
        <v>27</v>
      </c>
    </row>
    <row r="5" customFormat="false" ht="75" hidden="false" customHeight="true" outlineLevel="0" collapsed="false">
      <c r="A5" s="8" t="n">
        <v>4</v>
      </c>
      <c r="B5" s="9" t="n">
        <v>2601349</v>
      </c>
      <c r="C5" s="9" t="s">
        <v>36</v>
      </c>
      <c r="D5" s="10" t="s">
        <v>37</v>
      </c>
      <c r="E5" s="11" t="s">
        <v>21</v>
      </c>
      <c r="F5" s="11" t="s">
        <v>22</v>
      </c>
      <c r="G5" s="11" t="s">
        <v>38</v>
      </c>
      <c r="H5" s="11" t="s">
        <v>39</v>
      </c>
      <c r="I5" s="11" t="s">
        <v>40</v>
      </c>
      <c r="J5" s="11" t="n">
        <v>6</v>
      </c>
      <c r="K5" s="11" t="n">
        <v>10</v>
      </c>
      <c r="L5" s="11" t="n">
        <v>9</v>
      </c>
      <c r="M5" s="11" t="n">
        <v>10</v>
      </c>
      <c r="N5" s="11" t="n">
        <v>3</v>
      </c>
      <c r="O5" s="11" t="n">
        <v>5</v>
      </c>
      <c r="P5" s="11" t="n">
        <v>43</v>
      </c>
      <c r="Q5" s="12" t="n">
        <v>5</v>
      </c>
      <c r="R5" s="13" t="s">
        <v>41</v>
      </c>
      <c r="S5" s="11" t="s">
        <v>42</v>
      </c>
    </row>
    <row r="6" customFormat="false" ht="75" hidden="false" customHeight="true" outlineLevel="0" collapsed="false">
      <c r="A6" s="8" t="n">
        <v>5</v>
      </c>
      <c r="B6" s="9" t="n">
        <v>2601264</v>
      </c>
      <c r="C6" s="9" t="s">
        <v>43</v>
      </c>
      <c r="D6" s="10" t="s">
        <v>44</v>
      </c>
      <c r="E6" s="11" t="s">
        <v>45</v>
      </c>
      <c r="F6" s="11" t="s">
        <v>22</v>
      </c>
      <c r="G6" s="11"/>
      <c r="H6" s="11" t="s">
        <v>46</v>
      </c>
      <c r="I6" s="11" t="s">
        <v>47</v>
      </c>
      <c r="J6" s="11" t="s">
        <v>47</v>
      </c>
      <c r="K6" s="11" t="s">
        <v>47</v>
      </c>
      <c r="L6" s="11" t="s">
        <v>47</v>
      </c>
      <c r="M6" s="11" t="s">
        <v>47</v>
      </c>
      <c r="N6" s="11" t="s">
        <v>47</v>
      </c>
      <c r="O6" s="11" t="s">
        <v>47</v>
      </c>
      <c r="P6" s="11" t="s">
        <v>47</v>
      </c>
      <c r="Q6" s="11" t="s">
        <v>48</v>
      </c>
      <c r="R6" s="13" t="s">
        <v>49</v>
      </c>
      <c r="S6" s="11" t="s">
        <v>42</v>
      </c>
    </row>
    <row r="7" customFormat="false" ht="75" hidden="false" customHeight="true" outlineLevel="0" collapsed="false">
      <c r="A7" s="1" t="n">
        <v>6</v>
      </c>
      <c r="B7" s="3" t="n">
        <v>2601327</v>
      </c>
      <c r="C7" s="3" t="s">
        <v>50</v>
      </c>
      <c r="D7" s="4" t="s">
        <v>51</v>
      </c>
      <c r="E7" s="5" t="s">
        <v>21</v>
      </c>
      <c r="F7" s="5" t="s">
        <v>22</v>
      </c>
      <c r="G7" s="5" t="s">
        <v>52</v>
      </c>
      <c r="H7" s="5" t="s">
        <v>53</v>
      </c>
      <c r="I7" s="5" t="s">
        <v>25</v>
      </c>
      <c r="J7" s="5" t="n">
        <v>10</v>
      </c>
      <c r="K7" s="5" t="n">
        <v>18</v>
      </c>
      <c r="L7" s="5" t="n">
        <v>18</v>
      </c>
      <c r="M7" s="5" t="n">
        <v>4</v>
      </c>
      <c r="N7" s="5" t="n">
        <v>9</v>
      </c>
      <c r="O7" s="5" t="n">
        <v>5</v>
      </c>
      <c r="P7" s="5" t="n">
        <v>64</v>
      </c>
      <c r="Q7" s="6" t="n">
        <v>3</v>
      </c>
      <c r="R7" s="7" t="s">
        <v>54</v>
      </c>
      <c r="S7" s="5" t="s">
        <v>27</v>
      </c>
    </row>
    <row r="8" customFormat="false" ht="75" hidden="false" customHeight="true" outlineLevel="0" collapsed="false">
      <c r="A8" s="8" t="n">
        <v>7</v>
      </c>
      <c r="B8" s="9" t="n">
        <v>2601308</v>
      </c>
      <c r="C8" s="9" t="s">
        <v>55</v>
      </c>
      <c r="D8" s="10" t="s">
        <v>56</v>
      </c>
      <c r="E8" s="11" t="s">
        <v>21</v>
      </c>
      <c r="F8" s="11" t="s">
        <v>22</v>
      </c>
      <c r="G8" s="11" t="s">
        <v>57</v>
      </c>
      <c r="H8" s="11" t="s">
        <v>24</v>
      </c>
      <c r="I8" s="11" t="s">
        <v>58</v>
      </c>
      <c r="J8" s="11" t="n">
        <v>11</v>
      </c>
      <c r="K8" s="11" t="n">
        <v>12</v>
      </c>
      <c r="L8" s="11" t="n">
        <v>19</v>
      </c>
      <c r="M8" s="11" t="n">
        <v>22</v>
      </c>
      <c r="N8" s="11" t="n">
        <v>9</v>
      </c>
      <c r="O8" s="11" t="n">
        <v>7</v>
      </c>
      <c r="P8" s="11" t="n">
        <v>80</v>
      </c>
      <c r="Q8" s="12" t="n">
        <v>2</v>
      </c>
      <c r="R8" s="13" t="s">
        <v>59</v>
      </c>
      <c r="S8" s="11" t="s">
        <v>42</v>
      </c>
    </row>
    <row r="9" customFormat="false" ht="75" hidden="false" customHeight="true" outlineLevel="0" collapsed="false">
      <c r="A9" s="1" t="n">
        <v>8</v>
      </c>
      <c r="B9" s="3" t="n">
        <v>2601271</v>
      </c>
      <c r="C9" s="3" t="s">
        <v>60</v>
      </c>
      <c r="D9" s="4" t="s">
        <v>61</v>
      </c>
      <c r="E9" s="5" t="s">
        <v>21</v>
      </c>
      <c r="F9" s="5" t="s">
        <v>22</v>
      </c>
      <c r="G9" s="5" t="s">
        <v>62</v>
      </c>
      <c r="H9" s="5" t="s">
        <v>63</v>
      </c>
      <c r="I9" s="5" t="s">
        <v>25</v>
      </c>
      <c r="J9" s="5" t="n">
        <v>14</v>
      </c>
      <c r="K9" s="5" t="n">
        <v>19</v>
      </c>
      <c r="L9" s="5" t="n">
        <v>19</v>
      </c>
      <c r="M9" s="5" t="n">
        <v>23</v>
      </c>
      <c r="N9" s="5" t="n">
        <v>9</v>
      </c>
      <c r="O9" s="5" t="n">
        <v>8</v>
      </c>
      <c r="P9" s="5" t="n">
        <v>92</v>
      </c>
      <c r="Q9" s="6" t="n">
        <v>1.25</v>
      </c>
      <c r="R9" s="7" t="s">
        <v>64</v>
      </c>
      <c r="S9" s="5" t="s">
        <v>27</v>
      </c>
    </row>
    <row r="10" customFormat="false" ht="75" hidden="false" customHeight="true" outlineLevel="0" collapsed="false">
      <c r="A10" s="1" t="n">
        <v>9</v>
      </c>
      <c r="B10" s="3" t="n">
        <v>2600696</v>
      </c>
      <c r="C10" s="3" t="s">
        <v>65</v>
      </c>
      <c r="D10" s="4" t="s">
        <v>66</v>
      </c>
      <c r="E10" s="5" t="s">
        <v>21</v>
      </c>
      <c r="F10" s="5" t="s">
        <v>22</v>
      </c>
      <c r="G10" s="5" t="s">
        <v>67</v>
      </c>
      <c r="H10" s="5" t="s">
        <v>24</v>
      </c>
      <c r="I10" s="5" t="s">
        <v>25</v>
      </c>
      <c r="J10" s="5" t="n">
        <v>14</v>
      </c>
      <c r="K10" s="5" t="n">
        <v>19</v>
      </c>
      <c r="L10" s="5" t="n">
        <v>19</v>
      </c>
      <c r="M10" s="5" t="n">
        <v>24</v>
      </c>
      <c r="N10" s="5" t="n">
        <v>9</v>
      </c>
      <c r="O10" s="5" t="n">
        <v>9</v>
      </c>
      <c r="P10" s="5" t="n">
        <v>94</v>
      </c>
      <c r="Q10" s="6" t="n">
        <v>1.25</v>
      </c>
      <c r="R10" s="7" t="s">
        <v>68</v>
      </c>
      <c r="S10" s="5" t="s">
        <v>27</v>
      </c>
    </row>
    <row r="11" customFormat="false" ht="75" hidden="false" customHeight="true" outlineLevel="0" collapsed="false">
      <c r="A11" s="8" t="n">
        <v>10</v>
      </c>
      <c r="B11" s="9" t="n">
        <v>2601323</v>
      </c>
      <c r="C11" s="9" t="s">
        <v>69</v>
      </c>
      <c r="D11" s="10" t="s">
        <v>70</v>
      </c>
      <c r="E11" s="11" t="s">
        <v>21</v>
      </c>
      <c r="F11" s="11" t="s">
        <v>22</v>
      </c>
      <c r="G11" s="11" t="s">
        <v>71</v>
      </c>
      <c r="H11" s="11" t="s">
        <v>24</v>
      </c>
      <c r="I11" s="11" t="s">
        <v>40</v>
      </c>
      <c r="J11" s="11" t="n">
        <v>14</v>
      </c>
      <c r="K11" s="11" t="n">
        <v>18</v>
      </c>
      <c r="L11" s="11" t="n">
        <v>18</v>
      </c>
      <c r="M11" s="11" t="n">
        <v>22</v>
      </c>
      <c r="N11" s="11" t="n">
        <v>3</v>
      </c>
      <c r="O11" s="11" t="n">
        <v>7</v>
      </c>
      <c r="P11" s="11" t="n">
        <v>82</v>
      </c>
      <c r="Q11" s="12" t="n">
        <v>2</v>
      </c>
      <c r="R11" s="13" t="s">
        <v>72</v>
      </c>
      <c r="S11" s="11" t="s">
        <v>42</v>
      </c>
    </row>
    <row r="12" customFormat="false" ht="75" hidden="false" customHeight="true" outlineLevel="0" collapsed="false">
      <c r="A12" s="1" t="n">
        <v>11</v>
      </c>
      <c r="B12" s="3" t="n">
        <v>2601328</v>
      </c>
      <c r="C12" s="3" t="s">
        <v>73</v>
      </c>
      <c r="D12" s="4" t="s">
        <v>74</v>
      </c>
      <c r="E12" s="5" t="s">
        <v>21</v>
      </c>
      <c r="F12" s="5" t="s">
        <v>22</v>
      </c>
      <c r="G12" s="5" t="s">
        <v>75</v>
      </c>
      <c r="H12" s="5" t="s">
        <v>76</v>
      </c>
      <c r="I12" s="5" t="s">
        <v>25</v>
      </c>
      <c r="J12" s="5" t="n">
        <v>6</v>
      </c>
      <c r="K12" s="5" t="n">
        <v>17</v>
      </c>
      <c r="L12" s="5" t="n">
        <v>17</v>
      </c>
      <c r="M12" s="5" t="n">
        <v>5</v>
      </c>
      <c r="N12" s="5" t="n">
        <v>9</v>
      </c>
      <c r="O12" s="5" t="n">
        <v>7</v>
      </c>
      <c r="P12" s="5" t="n">
        <v>61</v>
      </c>
      <c r="Q12" s="6" t="n">
        <v>3</v>
      </c>
      <c r="R12" s="7" t="s">
        <v>77</v>
      </c>
      <c r="S12" s="5" t="s">
        <v>27</v>
      </c>
    </row>
    <row r="13" customFormat="false" ht="75" hidden="false" customHeight="true" outlineLevel="0" collapsed="false">
      <c r="A13" s="1" t="n">
        <v>12</v>
      </c>
      <c r="B13" s="3" t="n">
        <v>2601354</v>
      </c>
      <c r="C13" s="3" t="s">
        <v>78</v>
      </c>
      <c r="D13" s="4" t="s">
        <v>79</v>
      </c>
      <c r="E13" s="5" t="s">
        <v>21</v>
      </c>
      <c r="F13" s="5" t="s">
        <v>22</v>
      </c>
      <c r="G13" s="5" t="s">
        <v>80</v>
      </c>
      <c r="H13" s="5" t="s">
        <v>24</v>
      </c>
      <c r="I13" s="5" t="s">
        <v>81</v>
      </c>
      <c r="J13" s="5" t="n">
        <v>13</v>
      </c>
      <c r="K13" s="5" t="n">
        <v>18</v>
      </c>
      <c r="L13" s="5" t="n">
        <v>18</v>
      </c>
      <c r="M13" s="5" t="n">
        <v>18</v>
      </c>
      <c r="N13" s="5" t="n">
        <v>9</v>
      </c>
      <c r="O13" s="5" t="n">
        <v>8</v>
      </c>
      <c r="P13" s="5" t="n">
        <v>84</v>
      </c>
      <c r="Q13" s="6" t="n">
        <v>1.75</v>
      </c>
      <c r="R13" s="7" t="s">
        <v>82</v>
      </c>
      <c r="S13" s="5" t="s">
        <v>27</v>
      </c>
    </row>
    <row r="14" customFormat="false" ht="75" hidden="false" customHeight="true" outlineLevel="0" collapsed="false">
      <c r="A14" s="1" t="n">
        <v>13</v>
      </c>
      <c r="B14" s="3" t="n">
        <v>2601291</v>
      </c>
      <c r="C14" s="3" t="s">
        <v>83</v>
      </c>
      <c r="D14" s="4" t="s">
        <v>84</v>
      </c>
      <c r="E14" s="5" t="s">
        <v>21</v>
      </c>
      <c r="F14" s="5" t="s">
        <v>22</v>
      </c>
      <c r="G14" s="5" t="s">
        <v>85</v>
      </c>
      <c r="H14" s="5" t="s">
        <v>86</v>
      </c>
      <c r="I14" s="5" t="s">
        <v>87</v>
      </c>
      <c r="J14" s="5" t="n">
        <v>5</v>
      </c>
      <c r="K14" s="5" t="n">
        <v>9</v>
      </c>
      <c r="L14" s="5" t="n">
        <v>10</v>
      </c>
      <c r="M14" s="5" t="n">
        <v>10</v>
      </c>
      <c r="N14" s="5" t="n">
        <v>0</v>
      </c>
      <c r="O14" s="5" t="n">
        <v>4</v>
      </c>
      <c r="P14" s="5" t="n">
        <v>38</v>
      </c>
      <c r="Q14" s="6" t="n">
        <v>5</v>
      </c>
      <c r="R14" s="7" t="s">
        <v>88</v>
      </c>
      <c r="S14" s="5" t="s">
        <v>27</v>
      </c>
    </row>
    <row r="15" customFormat="false" ht="75" hidden="false" customHeight="true" outlineLevel="0" collapsed="false">
      <c r="A15" s="1" t="n">
        <v>14</v>
      </c>
      <c r="B15" s="3" t="n">
        <v>2601365</v>
      </c>
      <c r="C15" s="3" t="s">
        <v>89</v>
      </c>
      <c r="D15" s="4" t="s">
        <v>90</v>
      </c>
      <c r="E15" s="5" t="s">
        <v>21</v>
      </c>
      <c r="F15" s="5" t="s">
        <v>22</v>
      </c>
      <c r="G15" s="5" t="s">
        <v>91</v>
      </c>
      <c r="H15" s="5" t="s">
        <v>24</v>
      </c>
      <c r="I15" s="5" t="s">
        <v>92</v>
      </c>
      <c r="J15" s="5" t="n">
        <v>14</v>
      </c>
      <c r="K15" s="5" t="n">
        <v>19</v>
      </c>
      <c r="L15" s="5" t="n">
        <v>19</v>
      </c>
      <c r="M15" s="5" t="n">
        <v>23</v>
      </c>
      <c r="N15" s="5" t="n">
        <v>1</v>
      </c>
      <c r="O15" s="5" t="n">
        <v>8</v>
      </c>
      <c r="P15" s="5" t="n">
        <v>84</v>
      </c>
      <c r="Q15" s="6" t="n">
        <v>1.75</v>
      </c>
      <c r="R15" s="7" t="s">
        <v>93</v>
      </c>
      <c r="S15" s="5" t="s">
        <v>27</v>
      </c>
    </row>
    <row r="16" customFormat="false" ht="75" hidden="false" customHeight="true" outlineLevel="0" collapsed="false">
      <c r="A16" s="8" t="n">
        <v>15</v>
      </c>
      <c r="B16" s="9" t="n">
        <v>2601287</v>
      </c>
      <c r="C16" s="9" t="s">
        <v>94</v>
      </c>
      <c r="D16" s="10" t="s">
        <v>95</v>
      </c>
      <c r="E16" s="11" t="s">
        <v>21</v>
      </c>
      <c r="F16" s="11" t="s">
        <v>22</v>
      </c>
      <c r="G16" s="11" t="s">
        <v>96</v>
      </c>
      <c r="H16" s="11" t="s">
        <v>24</v>
      </c>
      <c r="I16" s="11" t="s">
        <v>40</v>
      </c>
      <c r="J16" s="11" t="n">
        <v>10</v>
      </c>
      <c r="K16" s="11" t="n">
        <v>16</v>
      </c>
      <c r="L16" s="11" t="n">
        <v>14</v>
      </c>
      <c r="M16" s="11" t="n">
        <v>12</v>
      </c>
      <c r="N16" s="11" t="n">
        <v>3</v>
      </c>
      <c r="O16" s="11" t="n">
        <v>6</v>
      </c>
      <c r="P16" s="11" t="n">
        <v>61</v>
      </c>
      <c r="Q16" s="12" t="n">
        <v>3</v>
      </c>
      <c r="R16" s="13" t="s">
        <v>97</v>
      </c>
      <c r="S16" s="11" t="s">
        <v>42</v>
      </c>
    </row>
    <row r="17" customFormat="false" ht="75" hidden="false" customHeight="true" outlineLevel="0" collapsed="false">
      <c r="A17" s="1" t="n">
        <v>16</v>
      </c>
      <c r="B17" s="3" t="n">
        <v>2601300</v>
      </c>
      <c r="C17" s="3" t="s">
        <v>98</v>
      </c>
      <c r="D17" s="4" t="s">
        <v>99</v>
      </c>
      <c r="E17" s="5" t="s">
        <v>21</v>
      </c>
      <c r="F17" s="5" t="s">
        <v>22</v>
      </c>
      <c r="G17" s="5" t="s">
        <v>100</v>
      </c>
      <c r="H17" s="5" t="s">
        <v>24</v>
      </c>
      <c r="I17" s="5" t="s">
        <v>25</v>
      </c>
      <c r="J17" s="5" t="n">
        <v>13</v>
      </c>
      <c r="K17" s="5" t="n">
        <v>18</v>
      </c>
      <c r="L17" s="5" t="n">
        <v>17</v>
      </c>
      <c r="M17" s="5" t="n">
        <v>22</v>
      </c>
      <c r="N17" s="5" t="n">
        <v>9</v>
      </c>
      <c r="O17" s="5" t="n">
        <v>8</v>
      </c>
      <c r="P17" s="5" t="n">
        <v>87</v>
      </c>
      <c r="Q17" s="6" t="n">
        <v>1.75</v>
      </c>
      <c r="R17" s="7" t="s">
        <v>101</v>
      </c>
      <c r="S17" s="5" t="s">
        <v>27</v>
      </c>
    </row>
    <row r="18" customFormat="false" ht="75" hidden="false" customHeight="true" outlineLevel="0" collapsed="false">
      <c r="A18" s="8" t="n">
        <v>17</v>
      </c>
      <c r="B18" s="9" t="n">
        <v>2601293</v>
      </c>
      <c r="C18" s="9" t="s">
        <v>102</v>
      </c>
      <c r="D18" s="10" t="s">
        <v>103</v>
      </c>
      <c r="E18" s="11" t="s">
        <v>21</v>
      </c>
      <c r="F18" s="11" t="s">
        <v>22</v>
      </c>
      <c r="G18" s="11" t="s">
        <v>104</v>
      </c>
      <c r="H18" s="11" t="s">
        <v>24</v>
      </c>
      <c r="I18" s="11" t="s">
        <v>105</v>
      </c>
      <c r="J18" s="11" t="n">
        <v>11</v>
      </c>
      <c r="K18" s="11" t="n">
        <v>12</v>
      </c>
      <c r="L18" s="11" t="n">
        <v>19</v>
      </c>
      <c r="M18" s="11" t="n">
        <v>22</v>
      </c>
      <c r="N18" s="11" t="n">
        <v>6</v>
      </c>
      <c r="O18" s="11" t="n">
        <v>6</v>
      </c>
      <c r="P18" s="11" t="n">
        <v>76</v>
      </c>
      <c r="Q18" s="12" t="n">
        <v>2.25</v>
      </c>
      <c r="R18" s="13" t="s">
        <v>106</v>
      </c>
      <c r="S18" s="11" t="s">
        <v>42</v>
      </c>
    </row>
    <row r="19" customFormat="false" ht="75" hidden="false" customHeight="true" outlineLevel="0" collapsed="false">
      <c r="A19" s="8" t="n">
        <v>18</v>
      </c>
      <c r="B19" s="9" t="n">
        <v>2601352</v>
      </c>
      <c r="C19" s="9" t="s">
        <v>107</v>
      </c>
      <c r="D19" s="10" t="s">
        <v>108</v>
      </c>
      <c r="E19" s="11" t="s">
        <v>21</v>
      </c>
      <c r="F19" s="11" t="s">
        <v>22</v>
      </c>
      <c r="G19" s="11" t="s">
        <v>109</v>
      </c>
      <c r="H19" s="11" t="s">
        <v>24</v>
      </c>
      <c r="I19" s="11" t="s">
        <v>110</v>
      </c>
      <c r="J19" s="11" t="n">
        <v>12</v>
      </c>
      <c r="K19" s="11" t="n">
        <v>18</v>
      </c>
      <c r="L19" s="11" t="n">
        <v>18</v>
      </c>
      <c r="M19" s="11" t="n">
        <v>19</v>
      </c>
      <c r="N19" s="11" t="n">
        <v>3</v>
      </c>
      <c r="O19" s="11" t="n">
        <v>8</v>
      </c>
      <c r="P19" s="11" t="n">
        <v>78</v>
      </c>
      <c r="Q19" s="12" t="n">
        <v>2.25</v>
      </c>
      <c r="R19" s="13" t="s">
        <v>111</v>
      </c>
      <c r="S19" s="11" t="s">
        <v>42</v>
      </c>
    </row>
    <row r="20" customFormat="false" ht="75" hidden="false" customHeight="true" outlineLevel="0" collapsed="false">
      <c r="A20" s="8" t="n">
        <v>19</v>
      </c>
      <c r="B20" s="9" t="n">
        <v>2601246</v>
      </c>
      <c r="C20" s="9" t="s">
        <v>112</v>
      </c>
      <c r="D20" s="10" t="s">
        <v>113</v>
      </c>
      <c r="E20" s="11" t="s">
        <v>21</v>
      </c>
      <c r="F20" s="11" t="s">
        <v>22</v>
      </c>
      <c r="G20" s="11" t="s">
        <v>114</v>
      </c>
      <c r="H20" s="11" t="s">
        <v>115</v>
      </c>
      <c r="I20" s="11" t="s">
        <v>116</v>
      </c>
      <c r="J20" s="11" t="n">
        <v>9</v>
      </c>
      <c r="K20" s="11" t="n">
        <v>16</v>
      </c>
      <c r="L20" s="11" t="n">
        <v>13</v>
      </c>
      <c r="M20" s="11" t="n">
        <v>17</v>
      </c>
      <c r="N20" s="11" t="n">
        <v>3</v>
      </c>
      <c r="O20" s="11" t="n">
        <v>4</v>
      </c>
      <c r="P20" s="11" t="n">
        <v>62</v>
      </c>
      <c r="Q20" s="12" t="n">
        <v>3</v>
      </c>
      <c r="R20" s="13" t="s">
        <v>117</v>
      </c>
      <c r="S20" s="11" t="s">
        <v>42</v>
      </c>
    </row>
    <row r="21" customFormat="false" ht="75" hidden="false" customHeight="true" outlineLevel="0" collapsed="false">
      <c r="A21" s="1" t="n">
        <v>20</v>
      </c>
      <c r="B21" s="3" t="n">
        <v>2601295</v>
      </c>
      <c r="C21" s="3" t="s">
        <v>118</v>
      </c>
      <c r="D21" s="4" t="s">
        <v>119</v>
      </c>
      <c r="E21" s="5" t="s">
        <v>21</v>
      </c>
      <c r="F21" s="5" t="s">
        <v>22</v>
      </c>
      <c r="G21" s="5" t="s">
        <v>120</v>
      </c>
      <c r="H21" s="5" t="s">
        <v>121</v>
      </c>
      <c r="I21" s="5" t="s">
        <v>58</v>
      </c>
      <c r="J21" s="5" t="n">
        <v>8</v>
      </c>
      <c r="K21" s="5" t="n">
        <v>17</v>
      </c>
      <c r="L21" s="5" t="n">
        <v>16</v>
      </c>
      <c r="M21" s="5" t="n">
        <v>10</v>
      </c>
      <c r="N21" s="5" t="n">
        <v>9</v>
      </c>
      <c r="O21" s="5" t="n">
        <v>6</v>
      </c>
      <c r="P21" s="5" t="n">
        <v>66</v>
      </c>
      <c r="Q21" s="6" t="n">
        <v>2.75</v>
      </c>
      <c r="R21" s="7" t="s">
        <v>122</v>
      </c>
      <c r="S21" s="5" t="s">
        <v>27</v>
      </c>
    </row>
    <row r="22" customFormat="false" ht="75" hidden="false" customHeight="true" outlineLevel="0" collapsed="false">
      <c r="A22" s="1" t="n">
        <v>21</v>
      </c>
      <c r="B22" s="3" t="n">
        <v>2601346</v>
      </c>
      <c r="C22" s="3" t="s">
        <v>123</v>
      </c>
      <c r="D22" s="4" t="s">
        <v>124</v>
      </c>
      <c r="E22" s="5" t="s">
        <v>21</v>
      </c>
      <c r="F22" s="5" t="s">
        <v>22</v>
      </c>
      <c r="G22" s="5" t="s">
        <v>125</v>
      </c>
      <c r="H22" s="5" t="s">
        <v>126</v>
      </c>
      <c r="I22" s="5" t="s">
        <v>25</v>
      </c>
      <c r="J22" s="5" t="n">
        <v>13</v>
      </c>
      <c r="K22" s="5" t="n">
        <v>18</v>
      </c>
      <c r="L22" s="5" t="n">
        <v>18</v>
      </c>
      <c r="M22" s="5" t="n">
        <v>20</v>
      </c>
      <c r="N22" s="5" t="n">
        <v>9</v>
      </c>
      <c r="O22" s="5" t="n">
        <v>8</v>
      </c>
      <c r="P22" s="5" t="n">
        <v>86</v>
      </c>
      <c r="Q22" s="6" t="n">
        <v>1.75</v>
      </c>
      <c r="R22" s="7" t="s">
        <v>127</v>
      </c>
      <c r="S22" s="5" t="s">
        <v>27</v>
      </c>
    </row>
    <row r="23" customFormat="false" ht="75" hidden="false" customHeight="true" outlineLevel="0" collapsed="false">
      <c r="A23" s="1" t="n">
        <v>22</v>
      </c>
      <c r="B23" s="3" t="n">
        <v>2601339</v>
      </c>
      <c r="C23" s="3" t="s">
        <v>128</v>
      </c>
      <c r="D23" s="4" t="s">
        <v>129</v>
      </c>
      <c r="E23" s="5" t="s">
        <v>21</v>
      </c>
      <c r="F23" s="5" t="s">
        <v>22</v>
      </c>
      <c r="G23" s="5" t="s">
        <v>130</v>
      </c>
      <c r="H23" s="5" t="s">
        <v>131</v>
      </c>
      <c r="I23" s="5" t="s">
        <v>25</v>
      </c>
      <c r="J23" s="5" t="n">
        <v>14</v>
      </c>
      <c r="K23" s="5" t="n">
        <v>19</v>
      </c>
      <c r="L23" s="5" t="n">
        <v>18</v>
      </c>
      <c r="M23" s="5" t="n">
        <v>23</v>
      </c>
      <c r="N23" s="5" t="n">
        <v>9</v>
      </c>
      <c r="O23" s="5" t="n">
        <v>8</v>
      </c>
      <c r="P23" s="5" t="n">
        <v>91</v>
      </c>
      <c r="Q23" s="6" t="n">
        <v>1.5</v>
      </c>
      <c r="R23" s="7" t="s">
        <v>132</v>
      </c>
      <c r="S23" s="5" t="s">
        <v>27</v>
      </c>
    </row>
    <row r="24" customFormat="false" ht="75" hidden="false" customHeight="true" outlineLevel="0" collapsed="false">
      <c r="A24" s="1" t="n">
        <v>23</v>
      </c>
      <c r="B24" s="3" t="n">
        <v>2601359</v>
      </c>
      <c r="C24" s="3" t="s">
        <v>133</v>
      </c>
      <c r="D24" s="4" t="s">
        <v>134</v>
      </c>
      <c r="E24" s="5" t="s">
        <v>21</v>
      </c>
      <c r="F24" s="5" t="s">
        <v>22</v>
      </c>
      <c r="G24" s="5" t="s">
        <v>135</v>
      </c>
      <c r="H24" s="5" t="s">
        <v>24</v>
      </c>
      <c r="I24" s="5" t="s">
        <v>25</v>
      </c>
      <c r="J24" s="5" t="n">
        <v>12</v>
      </c>
      <c r="K24" s="5" t="n">
        <v>18</v>
      </c>
      <c r="L24" s="5" t="n">
        <v>15</v>
      </c>
      <c r="M24" s="5" t="n">
        <v>22</v>
      </c>
      <c r="N24" s="5" t="n">
        <v>9</v>
      </c>
      <c r="O24" s="5" t="n">
        <v>8</v>
      </c>
      <c r="P24" s="5" t="n">
        <v>84</v>
      </c>
      <c r="Q24" s="6" t="n">
        <v>1.75</v>
      </c>
      <c r="R24" s="7" t="s">
        <v>136</v>
      </c>
      <c r="S24" s="5" t="s">
        <v>27</v>
      </c>
    </row>
    <row r="25" customFormat="false" ht="75" hidden="false" customHeight="true" outlineLevel="0" collapsed="false">
      <c r="A25" s="1" t="n">
        <v>24</v>
      </c>
      <c r="B25" s="3" t="n">
        <v>2601312</v>
      </c>
      <c r="C25" s="3" t="s">
        <v>137</v>
      </c>
      <c r="D25" s="4" t="s">
        <v>138</v>
      </c>
      <c r="E25" s="5" t="s">
        <v>21</v>
      </c>
      <c r="F25" s="5" t="s">
        <v>22</v>
      </c>
      <c r="G25" s="5" t="s">
        <v>139</v>
      </c>
      <c r="H25" s="5" t="s">
        <v>24</v>
      </c>
      <c r="I25" s="5" t="s">
        <v>25</v>
      </c>
      <c r="J25" s="5" t="n">
        <v>10</v>
      </c>
      <c r="K25" s="5" t="n">
        <v>17</v>
      </c>
      <c r="L25" s="5" t="n">
        <v>13</v>
      </c>
      <c r="M25" s="5" t="n">
        <v>11</v>
      </c>
      <c r="N25" s="5" t="n">
        <v>9</v>
      </c>
      <c r="O25" s="5" t="n">
        <v>6</v>
      </c>
      <c r="P25" s="5" t="n">
        <v>66</v>
      </c>
      <c r="Q25" s="6" t="n">
        <v>2.75</v>
      </c>
      <c r="R25" s="7" t="s">
        <v>140</v>
      </c>
      <c r="S25" s="5" t="s">
        <v>27</v>
      </c>
    </row>
    <row r="26" customFormat="false" ht="75" hidden="false" customHeight="true" outlineLevel="0" collapsed="false">
      <c r="A26" s="1" t="n">
        <v>25</v>
      </c>
      <c r="B26" s="3" t="n">
        <v>2601343</v>
      </c>
      <c r="C26" s="3" t="s">
        <v>141</v>
      </c>
      <c r="D26" s="4" t="s">
        <v>142</v>
      </c>
      <c r="E26" s="5" t="s">
        <v>21</v>
      </c>
      <c r="F26" s="5" t="s">
        <v>22</v>
      </c>
      <c r="G26" s="5" t="s">
        <v>143</v>
      </c>
      <c r="H26" s="5" t="s">
        <v>144</v>
      </c>
      <c r="I26" s="5" t="s">
        <v>25</v>
      </c>
      <c r="J26" s="5" t="n">
        <v>12</v>
      </c>
      <c r="K26" s="5" t="n">
        <v>18</v>
      </c>
      <c r="L26" s="5" t="n">
        <v>18</v>
      </c>
      <c r="M26" s="5" t="n">
        <v>20</v>
      </c>
      <c r="N26" s="5" t="n">
        <v>9</v>
      </c>
      <c r="O26" s="5" t="n">
        <v>3</v>
      </c>
      <c r="P26" s="5" t="n">
        <v>80</v>
      </c>
      <c r="Q26" s="6" t="n">
        <v>2</v>
      </c>
      <c r="R26" s="7" t="s">
        <v>145</v>
      </c>
      <c r="S26" s="5" t="s">
        <v>27</v>
      </c>
    </row>
    <row r="27" customFormat="false" ht="75" hidden="false" customHeight="true" outlineLevel="0" collapsed="false">
      <c r="A27" s="8" t="n">
        <v>26</v>
      </c>
      <c r="B27" s="9" t="n">
        <v>2601316</v>
      </c>
      <c r="C27" s="9" t="s">
        <v>146</v>
      </c>
      <c r="D27" s="10" t="s">
        <v>147</v>
      </c>
      <c r="E27" s="11" t="s">
        <v>21</v>
      </c>
      <c r="F27" s="11" t="s">
        <v>22</v>
      </c>
      <c r="G27" s="11" t="s">
        <v>148</v>
      </c>
      <c r="H27" s="11" t="s">
        <v>24</v>
      </c>
      <c r="I27" s="11" t="s">
        <v>149</v>
      </c>
      <c r="J27" s="11" t="n">
        <v>13</v>
      </c>
      <c r="K27" s="11" t="n">
        <v>18</v>
      </c>
      <c r="L27" s="11" t="n">
        <v>18</v>
      </c>
      <c r="M27" s="11" t="n">
        <v>22</v>
      </c>
      <c r="N27" s="11" t="n">
        <v>9</v>
      </c>
      <c r="O27" s="11" t="n">
        <v>6</v>
      </c>
      <c r="P27" s="11" t="n">
        <v>86</v>
      </c>
      <c r="Q27" s="12" t="n">
        <v>1.75</v>
      </c>
      <c r="R27" s="13" t="s">
        <v>150</v>
      </c>
      <c r="S27" s="11" t="s">
        <v>42</v>
      </c>
    </row>
    <row r="28" customFormat="false" ht="75" hidden="false" customHeight="true" outlineLevel="0" collapsed="false">
      <c r="A28" s="1" t="n">
        <v>27</v>
      </c>
      <c r="B28" s="3" t="n">
        <v>2601314</v>
      </c>
      <c r="C28" s="3" t="s">
        <v>151</v>
      </c>
      <c r="D28" s="4" t="s">
        <v>152</v>
      </c>
      <c r="E28" s="5" t="s">
        <v>21</v>
      </c>
      <c r="F28" s="5" t="s">
        <v>22</v>
      </c>
      <c r="G28" s="5" t="s">
        <v>153</v>
      </c>
      <c r="H28" s="5" t="s">
        <v>154</v>
      </c>
      <c r="I28" s="5" t="s">
        <v>25</v>
      </c>
      <c r="J28" s="5" t="n">
        <v>2</v>
      </c>
      <c r="K28" s="5" t="n">
        <v>1</v>
      </c>
      <c r="L28" s="5" t="n">
        <v>1</v>
      </c>
      <c r="M28" s="5" t="n">
        <v>6</v>
      </c>
      <c r="N28" s="5" t="n">
        <v>9</v>
      </c>
      <c r="O28" s="5" t="n">
        <v>3</v>
      </c>
      <c r="P28" s="5" t="n">
        <v>22</v>
      </c>
      <c r="Q28" s="6" t="n">
        <v>5</v>
      </c>
      <c r="R28" s="7" t="s">
        <v>155</v>
      </c>
      <c r="S28" s="5" t="s">
        <v>27</v>
      </c>
    </row>
    <row r="29" customFormat="false" ht="75" hidden="false" customHeight="true" outlineLevel="0" collapsed="false">
      <c r="A29" s="8" t="n">
        <v>28</v>
      </c>
      <c r="B29" s="9" t="n">
        <v>2601326</v>
      </c>
      <c r="C29" s="9" t="s">
        <v>156</v>
      </c>
      <c r="D29" s="10" t="s">
        <v>157</v>
      </c>
      <c r="E29" s="11" t="s">
        <v>21</v>
      </c>
      <c r="F29" s="11" t="s">
        <v>22</v>
      </c>
      <c r="G29" s="11" t="s">
        <v>158</v>
      </c>
      <c r="H29" s="11" t="s">
        <v>24</v>
      </c>
      <c r="I29" s="11" t="s">
        <v>159</v>
      </c>
      <c r="J29" s="11" t="n">
        <v>6</v>
      </c>
      <c r="K29" s="11" t="n">
        <v>9</v>
      </c>
      <c r="L29" s="11" t="n">
        <v>15</v>
      </c>
      <c r="M29" s="11" t="n">
        <v>8</v>
      </c>
      <c r="N29" s="11" t="n">
        <v>6</v>
      </c>
      <c r="O29" s="11" t="n">
        <v>5</v>
      </c>
      <c r="P29" s="11" t="n">
        <v>49</v>
      </c>
      <c r="Q29" s="12" t="n">
        <v>5</v>
      </c>
      <c r="R29" s="13" t="s">
        <v>160</v>
      </c>
      <c r="S29" s="11" t="s">
        <v>42</v>
      </c>
    </row>
    <row r="30" customFormat="false" ht="75" hidden="false" customHeight="true" outlineLevel="0" collapsed="false">
      <c r="A30" s="1" t="n">
        <v>29</v>
      </c>
      <c r="B30" s="3" t="n">
        <v>2601341</v>
      </c>
      <c r="C30" s="3" t="s">
        <v>161</v>
      </c>
      <c r="D30" s="4" t="s">
        <v>162</v>
      </c>
      <c r="E30" s="5" t="s">
        <v>21</v>
      </c>
      <c r="F30" s="5" t="s">
        <v>22</v>
      </c>
      <c r="G30" s="5" t="s">
        <v>163</v>
      </c>
      <c r="H30" s="5" t="s">
        <v>164</v>
      </c>
      <c r="I30" s="5" t="s">
        <v>25</v>
      </c>
      <c r="J30" s="5" t="n">
        <v>10</v>
      </c>
      <c r="K30" s="5" t="n">
        <v>16</v>
      </c>
      <c r="L30" s="5" t="n">
        <v>16</v>
      </c>
      <c r="M30" s="5" t="n">
        <v>13</v>
      </c>
      <c r="N30" s="5" t="n">
        <v>9</v>
      </c>
      <c r="O30" s="5" t="n">
        <v>7</v>
      </c>
      <c r="P30" s="5" t="n">
        <v>71</v>
      </c>
      <c r="Q30" s="6" t="n">
        <v>2.5</v>
      </c>
      <c r="R30" s="7" t="s">
        <v>165</v>
      </c>
      <c r="S30" s="5" t="s">
        <v>27</v>
      </c>
    </row>
    <row r="31" customFormat="false" ht="75" hidden="false" customHeight="true" outlineLevel="0" collapsed="false">
      <c r="A31" s="1" t="n">
        <v>30</v>
      </c>
      <c r="B31" s="3" t="n">
        <v>2601282</v>
      </c>
      <c r="C31" s="3" t="s">
        <v>166</v>
      </c>
      <c r="D31" s="4" t="s">
        <v>167</v>
      </c>
      <c r="E31" s="5" t="s">
        <v>21</v>
      </c>
      <c r="F31" s="5" t="s">
        <v>22</v>
      </c>
      <c r="G31" s="5" t="s">
        <v>168</v>
      </c>
      <c r="H31" s="5" t="s">
        <v>169</v>
      </c>
      <c r="I31" s="5" t="s">
        <v>149</v>
      </c>
      <c r="J31" s="5" t="n">
        <v>8</v>
      </c>
      <c r="K31" s="5" t="n">
        <v>17</v>
      </c>
      <c r="L31" s="5" t="n">
        <v>17</v>
      </c>
      <c r="M31" s="5" t="n">
        <v>2</v>
      </c>
      <c r="N31" s="5" t="n">
        <v>9</v>
      </c>
      <c r="O31" s="5" t="n">
        <v>4</v>
      </c>
      <c r="P31" s="5" t="n">
        <v>57</v>
      </c>
      <c r="Q31" s="6" t="n">
        <v>5</v>
      </c>
      <c r="R31" s="7" t="s">
        <v>170</v>
      </c>
      <c r="S31" s="5" t="s">
        <v>27</v>
      </c>
    </row>
    <row r="32" customFormat="false" ht="75" hidden="false" customHeight="true" outlineLevel="0" collapsed="false">
      <c r="A32" s="8" t="n">
        <v>31</v>
      </c>
      <c r="B32" s="9" t="n">
        <v>2601356</v>
      </c>
      <c r="C32" s="9" t="s">
        <v>171</v>
      </c>
      <c r="D32" s="10" t="s">
        <v>172</v>
      </c>
      <c r="E32" s="11" t="s">
        <v>21</v>
      </c>
      <c r="F32" s="11" t="s">
        <v>22</v>
      </c>
      <c r="G32" s="11" t="s">
        <v>173</v>
      </c>
      <c r="H32" s="11" t="s">
        <v>174</v>
      </c>
      <c r="I32" s="11" t="s">
        <v>40</v>
      </c>
      <c r="J32" s="11" t="n">
        <v>14</v>
      </c>
      <c r="K32" s="11" t="n">
        <v>18</v>
      </c>
      <c r="L32" s="11" t="n">
        <v>17</v>
      </c>
      <c r="M32" s="11" t="n">
        <v>23</v>
      </c>
      <c r="N32" s="11" t="n">
        <v>3</v>
      </c>
      <c r="O32" s="11" t="n">
        <v>8</v>
      </c>
      <c r="P32" s="11" t="n">
        <v>83</v>
      </c>
      <c r="Q32" s="12" t="n">
        <v>2</v>
      </c>
      <c r="R32" s="13" t="s">
        <v>175</v>
      </c>
      <c r="S32" s="11" t="s">
        <v>42</v>
      </c>
    </row>
    <row r="33" customFormat="false" ht="75" hidden="false" customHeight="true" outlineLevel="0" collapsed="false">
      <c r="A33" s="8" t="n">
        <v>32</v>
      </c>
      <c r="B33" s="9" t="n">
        <v>2600688</v>
      </c>
      <c r="C33" s="9" t="s">
        <v>176</v>
      </c>
      <c r="D33" s="10" t="s">
        <v>177</v>
      </c>
      <c r="E33" s="11" t="s">
        <v>45</v>
      </c>
      <c r="F33" s="11" t="s">
        <v>22</v>
      </c>
      <c r="G33" s="11"/>
      <c r="H33" s="11" t="s">
        <v>46</v>
      </c>
      <c r="I33" s="11" t="s">
        <v>47</v>
      </c>
      <c r="J33" s="11" t="s">
        <v>47</v>
      </c>
      <c r="K33" s="11" t="s">
        <v>47</v>
      </c>
      <c r="L33" s="11" t="s">
        <v>47</v>
      </c>
      <c r="M33" s="11" t="s">
        <v>47</v>
      </c>
      <c r="N33" s="11" t="s">
        <v>47</v>
      </c>
      <c r="O33" s="11" t="s">
        <v>47</v>
      </c>
      <c r="P33" s="11" t="s">
        <v>47</v>
      </c>
      <c r="Q33" s="11" t="s">
        <v>48</v>
      </c>
      <c r="R33" s="13" t="s">
        <v>178</v>
      </c>
      <c r="S33" s="11" t="s">
        <v>42</v>
      </c>
    </row>
    <row r="34" customFormat="false" ht="75" hidden="false" customHeight="true" outlineLevel="0" collapsed="false">
      <c r="A34" s="8" t="n">
        <v>33</v>
      </c>
      <c r="B34" s="9" t="n">
        <v>2601285</v>
      </c>
      <c r="C34" s="9" t="s">
        <v>179</v>
      </c>
      <c r="D34" s="10" t="s">
        <v>180</v>
      </c>
      <c r="E34" s="11" t="s">
        <v>21</v>
      </c>
      <c r="F34" s="11" t="s">
        <v>22</v>
      </c>
      <c r="G34" s="11" t="s">
        <v>181</v>
      </c>
      <c r="H34" s="11" t="s">
        <v>182</v>
      </c>
      <c r="I34" s="11" t="s">
        <v>183</v>
      </c>
      <c r="J34" s="11" t="n">
        <v>11</v>
      </c>
      <c r="K34" s="11" t="n">
        <v>18</v>
      </c>
      <c r="L34" s="11" t="n">
        <v>18</v>
      </c>
      <c r="M34" s="11" t="n">
        <v>19</v>
      </c>
      <c r="N34" s="11" t="n">
        <v>3</v>
      </c>
      <c r="O34" s="11" t="n">
        <v>4</v>
      </c>
      <c r="P34" s="11" t="n">
        <v>73</v>
      </c>
      <c r="Q34" s="12" t="n">
        <v>2.5</v>
      </c>
      <c r="R34" s="13" t="s">
        <v>184</v>
      </c>
      <c r="S34" s="11" t="s">
        <v>42</v>
      </c>
    </row>
    <row r="35" customFormat="false" ht="75" hidden="false" customHeight="true" outlineLevel="0" collapsed="false">
      <c r="A35" s="8" t="n">
        <v>34</v>
      </c>
      <c r="B35" s="9" t="n">
        <v>2601279</v>
      </c>
      <c r="C35" s="9" t="s">
        <v>185</v>
      </c>
      <c r="D35" s="10" t="s">
        <v>186</v>
      </c>
      <c r="E35" s="11" t="s">
        <v>21</v>
      </c>
      <c r="F35" s="11" t="s">
        <v>22</v>
      </c>
      <c r="G35" s="11" t="s">
        <v>187</v>
      </c>
      <c r="H35" s="11" t="s">
        <v>24</v>
      </c>
      <c r="I35" s="11" t="s">
        <v>40</v>
      </c>
      <c r="J35" s="11" t="n">
        <v>3</v>
      </c>
      <c r="K35" s="11" t="n">
        <v>6</v>
      </c>
      <c r="L35" s="11" t="n">
        <v>6</v>
      </c>
      <c r="M35" s="11" t="n">
        <v>6</v>
      </c>
      <c r="N35" s="11" t="n">
        <v>3</v>
      </c>
      <c r="O35" s="11" t="n">
        <v>1</v>
      </c>
      <c r="P35" s="11" t="n">
        <v>25</v>
      </c>
      <c r="Q35" s="12" t="n">
        <v>5</v>
      </c>
      <c r="R35" s="13" t="s">
        <v>188</v>
      </c>
      <c r="S35" s="11" t="s">
        <v>42</v>
      </c>
    </row>
    <row r="36" customFormat="false" ht="75" hidden="false" customHeight="true" outlineLevel="0" collapsed="false">
      <c r="A36" s="1" t="n">
        <v>35</v>
      </c>
      <c r="B36" s="3" t="n">
        <v>2601294</v>
      </c>
      <c r="C36" s="3" t="s">
        <v>189</v>
      </c>
      <c r="D36" s="4" t="s">
        <v>190</v>
      </c>
      <c r="E36" s="5" t="s">
        <v>21</v>
      </c>
      <c r="F36" s="5" t="s">
        <v>22</v>
      </c>
      <c r="G36" s="5" t="s">
        <v>191</v>
      </c>
      <c r="H36" s="5" t="s">
        <v>192</v>
      </c>
      <c r="I36" s="5" t="s">
        <v>149</v>
      </c>
      <c r="J36" s="5" t="n">
        <v>11</v>
      </c>
      <c r="K36" s="5" t="n">
        <v>17</v>
      </c>
      <c r="L36" s="5" t="n">
        <v>17</v>
      </c>
      <c r="M36" s="5" t="n">
        <v>16</v>
      </c>
      <c r="N36" s="5" t="n">
        <v>9</v>
      </c>
      <c r="O36" s="5" t="n">
        <v>3</v>
      </c>
      <c r="P36" s="5" t="n">
        <v>73</v>
      </c>
      <c r="Q36" s="6" t="n">
        <v>2.5</v>
      </c>
      <c r="R36" s="7" t="s">
        <v>193</v>
      </c>
      <c r="S36" s="5" t="s">
        <v>27</v>
      </c>
    </row>
    <row r="37" customFormat="false" ht="75" hidden="false" customHeight="true" outlineLevel="0" collapsed="false">
      <c r="A37" s="1" t="n">
        <v>36</v>
      </c>
      <c r="B37" s="3" t="n">
        <v>2601286</v>
      </c>
      <c r="C37" s="3" t="s">
        <v>194</v>
      </c>
      <c r="D37" s="4" t="s">
        <v>195</v>
      </c>
      <c r="E37" s="5" t="s">
        <v>21</v>
      </c>
      <c r="F37" s="5" t="s">
        <v>22</v>
      </c>
      <c r="G37" s="5" t="s">
        <v>196</v>
      </c>
      <c r="H37" s="5" t="s">
        <v>197</v>
      </c>
      <c r="I37" s="5" t="s">
        <v>149</v>
      </c>
      <c r="J37" s="5" t="n">
        <v>10</v>
      </c>
      <c r="K37" s="5" t="n">
        <v>16</v>
      </c>
      <c r="L37" s="5" t="n">
        <v>16</v>
      </c>
      <c r="M37" s="5" t="n">
        <v>10</v>
      </c>
      <c r="N37" s="5" t="n">
        <v>9</v>
      </c>
      <c r="O37" s="5" t="n">
        <v>2</v>
      </c>
      <c r="P37" s="5" t="n">
        <v>63</v>
      </c>
      <c r="Q37" s="6" t="n">
        <v>3</v>
      </c>
      <c r="R37" s="7" t="s">
        <v>198</v>
      </c>
      <c r="S37" s="5" t="s">
        <v>27</v>
      </c>
    </row>
    <row r="38" customFormat="false" ht="75" hidden="false" customHeight="true" outlineLevel="0" collapsed="false">
      <c r="A38" s="8" t="n">
        <v>37</v>
      </c>
      <c r="B38" s="9" t="n">
        <v>2601276</v>
      </c>
      <c r="C38" s="9" t="s">
        <v>199</v>
      </c>
      <c r="D38" s="10" t="s">
        <v>200</v>
      </c>
      <c r="E38" s="11" t="s">
        <v>21</v>
      </c>
      <c r="F38" s="11" t="s">
        <v>22</v>
      </c>
      <c r="G38" s="11" t="s">
        <v>201</v>
      </c>
      <c r="H38" s="11" t="s">
        <v>202</v>
      </c>
      <c r="I38" s="11" t="s">
        <v>203</v>
      </c>
      <c r="J38" s="11" t="n">
        <v>9</v>
      </c>
      <c r="K38" s="11" t="n">
        <v>13</v>
      </c>
      <c r="L38" s="11" t="n">
        <v>17</v>
      </c>
      <c r="M38" s="11" t="n">
        <v>17</v>
      </c>
      <c r="N38" s="11" t="n">
        <v>6</v>
      </c>
      <c r="O38" s="11" t="n">
        <v>6</v>
      </c>
      <c r="P38" s="11" t="n">
        <v>68</v>
      </c>
      <c r="Q38" s="12" t="n">
        <v>2.75</v>
      </c>
      <c r="R38" s="13" t="s">
        <v>204</v>
      </c>
      <c r="S38" s="11" t="s">
        <v>42</v>
      </c>
    </row>
    <row r="39" customFormat="false" ht="75" hidden="false" customHeight="true" outlineLevel="0" collapsed="false">
      <c r="A39" s="8" t="n">
        <v>38</v>
      </c>
      <c r="B39" s="9" t="n">
        <v>2601275</v>
      </c>
      <c r="C39" s="9" t="s">
        <v>205</v>
      </c>
      <c r="D39" s="10" t="s">
        <v>206</v>
      </c>
      <c r="E39" s="11" t="s">
        <v>21</v>
      </c>
      <c r="F39" s="11" t="s">
        <v>22</v>
      </c>
      <c r="G39" s="11" t="s">
        <v>207</v>
      </c>
      <c r="H39" s="11" t="s">
        <v>208</v>
      </c>
      <c r="I39" s="11" t="s">
        <v>25</v>
      </c>
      <c r="J39" s="11" t="n">
        <v>6</v>
      </c>
      <c r="K39" s="11" t="n">
        <v>9</v>
      </c>
      <c r="L39" s="11" t="n">
        <v>15</v>
      </c>
      <c r="M39" s="11" t="n">
        <v>8</v>
      </c>
      <c r="N39" s="11" t="n">
        <v>7</v>
      </c>
      <c r="O39" s="11" t="n">
        <v>4</v>
      </c>
      <c r="P39" s="11" t="n">
        <v>49</v>
      </c>
      <c r="Q39" s="12" t="n">
        <v>5</v>
      </c>
      <c r="R39" s="13" t="s">
        <v>209</v>
      </c>
      <c r="S39" s="11" t="s">
        <v>42</v>
      </c>
    </row>
    <row r="40" customFormat="false" ht="75" hidden="false" customHeight="true" outlineLevel="0" collapsed="false">
      <c r="A40" s="1" t="n">
        <v>39</v>
      </c>
      <c r="B40" s="3" t="n">
        <v>2601283</v>
      </c>
      <c r="C40" s="3" t="s">
        <v>210</v>
      </c>
      <c r="D40" s="0" t="s">
        <v>211</v>
      </c>
      <c r="E40" s="5" t="s">
        <v>212</v>
      </c>
      <c r="F40" s="5" t="s">
        <v>213</v>
      </c>
      <c r="G40" s="5" t="s">
        <v>47</v>
      </c>
      <c r="H40" s="5" t="s">
        <v>214</v>
      </c>
      <c r="I40" s="5" t="s">
        <v>47</v>
      </c>
      <c r="J40" s="5" t="n">
        <v>0</v>
      </c>
      <c r="K40" s="5" t="n">
        <v>0</v>
      </c>
      <c r="L40" s="5" t="n">
        <v>0</v>
      </c>
      <c r="M40" s="5" t="n">
        <v>0</v>
      </c>
      <c r="N40" s="5" t="n">
        <v>0</v>
      </c>
      <c r="O40" s="5" t="n">
        <v>0</v>
      </c>
      <c r="P40" s="5" t="n">
        <v>0</v>
      </c>
      <c r="Q40" s="6" t="n">
        <v>5</v>
      </c>
      <c r="R40" s="7" t="s">
        <v>215</v>
      </c>
      <c r="S40" s="5" t="s">
        <v>27</v>
      </c>
    </row>
    <row r="41" customFormat="false" ht="75" hidden="false" customHeight="true" outlineLevel="0" collapsed="false">
      <c r="A41" s="1" t="n">
        <v>40</v>
      </c>
      <c r="B41" s="3" t="n">
        <v>2601360</v>
      </c>
      <c r="C41" s="3" t="s">
        <v>216</v>
      </c>
      <c r="D41" s="4" t="s">
        <v>217</v>
      </c>
      <c r="E41" s="5" t="s">
        <v>21</v>
      </c>
      <c r="F41" s="5" t="s">
        <v>22</v>
      </c>
      <c r="G41" s="5" t="s">
        <v>218</v>
      </c>
      <c r="H41" s="5" t="s">
        <v>219</v>
      </c>
      <c r="I41" s="5" t="s">
        <v>25</v>
      </c>
      <c r="J41" s="5" t="n">
        <v>13</v>
      </c>
      <c r="K41" s="5" t="n">
        <v>19</v>
      </c>
      <c r="L41" s="5" t="n">
        <v>19</v>
      </c>
      <c r="M41" s="5" t="n">
        <v>22</v>
      </c>
      <c r="N41" s="5" t="n">
        <v>9</v>
      </c>
      <c r="O41" s="5" t="n">
        <v>3</v>
      </c>
      <c r="P41" s="5" t="n">
        <v>85</v>
      </c>
      <c r="Q41" s="6" t="n">
        <v>1.75</v>
      </c>
      <c r="R41" s="7" t="s">
        <v>220</v>
      </c>
      <c r="S41" s="5" t="s">
        <v>27</v>
      </c>
    </row>
    <row r="42" customFormat="false" ht="75" hidden="false" customHeight="true" outlineLevel="0" collapsed="false">
      <c r="A42" s="8" t="n">
        <v>41</v>
      </c>
      <c r="B42" s="9" t="n">
        <v>2601317</v>
      </c>
      <c r="C42" s="9" t="s">
        <v>221</v>
      </c>
      <c r="D42" s="10" t="s">
        <v>222</v>
      </c>
      <c r="E42" s="11" t="s">
        <v>21</v>
      </c>
      <c r="F42" s="11" t="s">
        <v>22</v>
      </c>
      <c r="G42" s="11" t="s">
        <v>223</v>
      </c>
      <c r="H42" s="11" t="s">
        <v>224</v>
      </c>
      <c r="I42" s="11" t="s">
        <v>40</v>
      </c>
      <c r="J42" s="11" t="n">
        <v>6</v>
      </c>
      <c r="K42" s="11" t="n">
        <v>12</v>
      </c>
      <c r="L42" s="11" t="n">
        <v>17</v>
      </c>
      <c r="M42" s="11" t="n">
        <v>8</v>
      </c>
      <c r="N42" s="11" t="n">
        <v>3</v>
      </c>
      <c r="O42" s="11" t="n">
        <v>3</v>
      </c>
      <c r="P42" s="11" t="n">
        <v>49</v>
      </c>
      <c r="Q42" s="12" t="n">
        <v>5</v>
      </c>
      <c r="R42" s="13" t="s">
        <v>225</v>
      </c>
      <c r="S42" s="11" t="s">
        <v>42</v>
      </c>
    </row>
    <row r="43" customFormat="false" ht="75" hidden="false" customHeight="true" outlineLevel="0" collapsed="false">
      <c r="A43" s="8" t="n">
        <v>42</v>
      </c>
      <c r="B43" s="9" t="n">
        <v>2601289</v>
      </c>
      <c r="C43" s="9" t="s">
        <v>226</v>
      </c>
      <c r="D43" s="10" t="s">
        <v>227</v>
      </c>
      <c r="E43" s="11" t="s">
        <v>21</v>
      </c>
      <c r="F43" s="11" t="s">
        <v>22</v>
      </c>
      <c r="G43" s="11" t="s">
        <v>228</v>
      </c>
      <c r="H43" s="11" t="s">
        <v>229</v>
      </c>
      <c r="I43" s="11" t="s">
        <v>40</v>
      </c>
      <c r="J43" s="11" t="n">
        <v>0</v>
      </c>
      <c r="K43" s="11" t="n">
        <v>0</v>
      </c>
      <c r="L43" s="11" t="n">
        <v>0</v>
      </c>
      <c r="M43" s="11" t="n">
        <v>0</v>
      </c>
      <c r="N43" s="11" t="n">
        <v>3</v>
      </c>
      <c r="O43" s="11" t="n">
        <v>0</v>
      </c>
      <c r="P43" s="11" t="n">
        <v>3</v>
      </c>
      <c r="Q43" s="12" t="n">
        <v>5</v>
      </c>
      <c r="R43" s="13" t="s">
        <v>230</v>
      </c>
      <c r="S43" s="11" t="s">
        <v>42</v>
      </c>
    </row>
    <row r="44" customFormat="false" ht="75" hidden="false" customHeight="true" outlineLevel="0" collapsed="false">
      <c r="A44" s="8" t="n">
        <v>43</v>
      </c>
      <c r="B44" s="9" t="n">
        <v>2601310</v>
      </c>
      <c r="C44" s="9" t="s">
        <v>231</v>
      </c>
      <c r="D44" s="10" t="s">
        <v>232</v>
      </c>
      <c r="E44" s="11" t="s">
        <v>21</v>
      </c>
      <c r="F44" s="11" t="s">
        <v>22</v>
      </c>
      <c r="G44" s="11" t="s">
        <v>233</v>
      </c>
      <c r="H44" s="11" t="s">
        <v>24</v>
      </c>
      <c r="I44" s="11" t="s">
        <v>40</v>
      </c>
      <c r="J44" s="11" t="n">
        <v>0</v>
      </c>
      <c r="K44" s="11" t="n">
        <v>0</v>
      </c>
      <c r="L44" s="11" t="n">
        <v>0</v>
      </c>
      <c r="M44" s="11" t="n">
        <v>0</v>
      </c>
      <c r="N44" s="11" t="n">
        <v>3</v>
      </c>
      <c r="O44" s="11" t="n">
        <v>0</v>
      </c>
      <c r="P44" s="11" t="n">
        <v>3</v>
      </c>
      <c r="Q44" s="12" t="n">
        <v>5</v>
      </c>
      <c r="R44" s="13" t="s">
        <v>234</v>
      </c>
      <c r="S44" s="11" t="s">
        <v>42</v>
      </c>
    </row>
    <row r="45" customFormat="false" ht="75" hidden="false" customHeight="true" outlineLevel="0" collapsed="false">
      <c r="A45" s="1" t="n">
        <v>44</v>
      </c>
      <c r="B45" s="3" t="n">
        <v>2601415</v>
      </c>
      <c r="C45" s="3" t="s">
        <v>235</v>
      </c>
      <c r="D45" s="0" t="s">
        <v>211</v>
      </c>
      <c r="E45" s="5" t="s">
        <v>212</v>
      </c>
      <c r="F45" s="5" t="s">
        <v>213</v>
      </c>
      <c r="G45" s="5" t="s">
        <v>47</v>
      </c>
      <c r="H45" s="5" t="s">
        <v>214</v>
      </c>
      <c r="I45" s="5" t="s">
        <v>47</v>
      </c>
      <c r="J45" s="5" t="n">
        <v>0</v>
      </c>
      <c r="K45" s="5" t="n">
        <v>0</v>
      </c>
      <c r="L45" s="5" t="n">
        <v>0</v>
      </c>
      <c r="M45" s="5" t="n">
        <v>0</v>
      </c>
      <c r="N45" s="5" t="n">
        <v>0</v>
      </c>
      <c r="O45" s="5" t="n">
        <v>0</v>
      </c>
      <c r="P45" s="5" t="n">
        <v>0</v>
      </c>
      <c r="Q45" s="6" t="n">
        <v>5</v>
      </c>
      <c r="R45" s="7" t="s">
        <v>215</v>
      </c>
      <c r="S45" s="5" t="s">
        <v>27</v>
      </c>
    </row>
    <row r="46" customFormat="false" ht="75" hidden="false" customHeight="true" outlineLevel="0" collapsed="false">
      <c r="A46" s="8" t="n">
        <v>45</v>
      </c>
      <c r="B46" s="9" t="n">
        <v>2601313</v>
      </c>
      <c r="C46" s="9" t="s">
        <v>236</v>
      </c>
      <c r="D46" s="10" t="s">
        <v>237</v>
      </c>
      <c r="E46" s="11" t="s">
        <v>21</v>
      </c>
      <c r="F46" s="11" t="s">
        <v>22</v>
      </c>
      <c r="G46" s="11" t="s">
        <v>238</v>
      </c>
      <c r="H46" s="11" t="s">
        <v>239</v>
      </c>
      <c r="I46" s="11" t="s">
        <v>240</v>
      </c>
      <c r="J46" s="11" t="n">
        <v>5</v>
      </c>
      <c r="K46" s="11" t="n">
        <v>10</v>
      </c>
      <c r="L46" s="11" t="n">
        <v>8</v>
      </c>
      <c r="M46" s="11" t="n">
        <v>12</v>
      </c>
      <c r="N46" s="11" t="n">
        <v>6</v>
      </c>
      <c r="O46" s="11" t="n">
        <v>4</v>
      </c>
      <c r="P46" s="11" t="n">
        <v>45</v>
      </c>
      <c r="Q46" s="12" t="n">
        <v>5</v>
      </c>
      <c r="R46" s="13" t="s">
        <v>241</v>
      </c>
      <c r="S46" s="11" t="s">
        <v>42</v>
      </c>
    </row>
  </sheetData>
  <autoFilter ref="A1:S46"/>
  <hyperlinks>
    <hyperlink ref="D2" r:id="rId1" display="https://github.com/charlslesterabarte/cpp101-week2-ABARTE.git"/>
    <hyperlink ref="D3" r:id="rId2" display="https://github.com/crong-max/CPP-WEEK2-ALJECERA.git"/>
    <hyperlink ref="D4" r:id="rId3" display="https://github.com/Drinns/ccp102-week2-anore.git"/>
    <hyperlink ref="D5" r:id="rId4" display="https://github.com/desbrn/cpp102-week2-baron.git"/>
    <hyperlink ref="D6" r:id="rId5" display="https://github.com/SeanYronBaui/cpp102-week2-BAUI"/>
    <hyperlink ref="D7" r:id="rId6" display="https://github.com/chikiezienathanbonifacio/CPP102-WEEK-2-Bonifacio.git"/>
    <hyperlink ref="D8" r:id="rId7" display="https://github.com/BorrasIII/CPP-102-Borras.git"/>
    <hyperlink ref="D9" r:id="rId8" display="https://github.com/calimagtartjarcel-create/calimagtartjarcel-create-cpp102-week2-calimag.git"/>
    <hyperlink ref="D10" r:id="rId9" display="https://github.com/carlo0022/cpp102-week2-coldas.git"/>
    <hyperlink ref="D11" r:id="rId10" display="https://github.com/marjiee4/CPP-Week-2---Cosadio.git"/>
    <hyperlink ref="D12" r:id="rId11" display="https://github.com/benedick1654321-bot/cpp102-week2-Coz.git"/>
    <hyperlink ref="D13" r:id="rId12" display="https://github.com/python680/CPP102-WEEK2-CRUZADO.git"/>
    <hyperlink ref="D14" r:id="rId13" display="https://github.com/joshdanseco-bit/CPP102-WEEK2.Danseco-josh.git"/>
    <hyperlink ref="D15" r:id="rId14" display="https://github.com/KentDiaz/cpp102-week2-diaz.git"/>
    <hyperlink ref="D16" r:id="rId15" display="https://github.com/ralphhp/cpp102-week2-diaz.git"/>
    <hyperlink ref="D17" r:id="rId16" display="https://github.com/francesdictado25-max/CPP102-week2-Dictado.git"/>
    <hyperlink ref="D18" r:id="rId17" display="https://github.com/Flores0123/cpp102-week2-Flores.git"/>
    <hyperlink ref="D19" r:id="rId18" display="https://github.com/andreafulgar895-alt/cpp102-week2-fulgar.git"/>
    <hyperlink ref="D20" r:id="rId19" display="https://github.com/xiilly/cpp102-week2-geluz.git"/>
    <hyperlink ref="D21" r:id="rId20" display="https://github.com/zpyxy1/cpp102-week2-gerona.git"/>
    <hyperlink ref="D22" r:id="rId21" display="https://github.com/cperenz/cpp102--week2-guillen.git"/>
    <hyperlink ref="D23" r:id="rId22" display="https://github.com/fabithecpe/cpp102-week2-JAOS.git"/>
    <hyperlink ref="D24" r:id="rId23" display="https://github.com/albuunak/CPP102-WEEK2-B-LAGARAS.git"/>
    <hyperlink ref="D25" r:id="rId24" display="https://github.com/jalexilayola-cyber/cpp102-week2-layola.git"/>
    <hyperlink ref="D26" r:id="rId25" display="https://github.com/migs1130/cpp-week2-Maigue.git"/>
    <hyperlink ref="D27" r:id="rId26" display="https://github.com/Lalalanoname/cpp102-week2-Montejo.git"/>
    <hyperlink ref="D28" r:id="rId27" display="https://github.com/cristineoctavo/cpp102-week2-octavo.git"/>
    <hyperlink ref="D29" r:id="rId28" display="https://github.com/palentinosariesgeof-blip/cpp102-week2-palentinos.git"/>
    <hyperlink ref="D30" r:id="rId29" display="https://github.com/NaYTaNiel/cpp102-week2-Panganiban.git"/>
    <hyperlink ref="D31" r:id="rId30" display="https://github.com/PAPAPYTHON18/CPP102-WEEK2-PAPA.git"/>
    <hyperlink ref="D32" r:id="rId31" display="https://github.com/crlmss08-dev/cpp102-week2-parungao.git"/>
    <hyperlink ref="D33" r:id="rId32" display="https://github.com/penascosasldmg9/CPP-WEEK2-PENASCOSAS.git"/>
    <hyperlink ref="D34" r:id="rId33" display="https://github.com/perezramvincent-hue/cpp102-week2-perez.git"/>
    <hyperlink ref="D35" r:id="rId34" display="https://github.com/Danielle071308/cpp102-week2-pizarro.git"/>
    <hyperlink ref="D36" r:id="rId35" display="https://github.com/AdrianRapanot/cpp102-week2-rapanot.git"/>
    <hyperlink ref="D37" r:id="rId36" display="https://github.com/Denden190/cpp102-week2-Reforsado.git"/>
    <hyperlink ref="D38" r:id="rId37" display="https://github.com/gemborejano-ai/cpp102-week2-rejano.git"/>
    <hyperlink ref="D39" r:id="rId38" display="https://github.com/Arrian13/cpp102-week2-Sadicon.git"/>
    <hyperlink ref="D41" r:id="rId39" display="https://github.com/Astig4ako/CPP102-week2-Sarmiento.git"/>
    <hyperlink ref="D42" r:id="rId40" display="https://github.com/jeziel-08/cpp102-week2-Siscon.git"/>
    <hyperlink ref="D43" r:id="rId41" display="https://github.com/urjosh-hub/CPP102-Week2-Tatlonghari.git"/>
    <hyperlink ref="D44" r:id="rId42" display="https://github.com/isaiahkyll/cpp102-week2-trinidad.git"/>
    <hyperlink ref="D46" r:id="rId43" display="https://github.com/evesonvillapando570-cpu/cpp102-week2-VILLAPANDO.gi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921875" defaultRowHeight="15" customHeight="false" zeroHeight="false" outlineLevelRow="0" outlineLevelCol="0"/>
  <cols>
    <col collapsed="false" customWidth="true" hidden="false" outlineLevel="0" max="1" min="1" style="0" width="34"/>
    <col collapsed="false" customWidth="true" hidden="false" outlineLevel="0" max="2" min="2" style="0" width="60"/>
  </cols>
  <sheetData>
    <row r="1" customFormat="false" ht="16.15" hidden="false" customHeight="false" outlineLevel="0" collapsed="false">
      <c r="A1" s="14" t="s">
        <v>242</v>
      </c>
    </row>
    <row r="3" customFormat="false" ht="15" hidden="false" customHeight="false" outlineLevel="0" collapsed="false">
      <c r="A3" s="15" t="s">
        <v>243</v>
      </c>
      <c r="B3" s="15" t="s">
        <v>244</v>
      </c>
    </row>
    <row r="4" customFormat="false" ht="15" hidden="false" customHeight="false" outlineLevel="0" collapsed="false">
      <c r="A4" s="16" t="s">
        <v>245</v>
      </c>
      <c r="B4" s="17" t="n">
        <f aca="false">COUNTA(Sheet1!B2:B46)</f>
        <v>45</v>
      </c>
    </row>
    <row r="5" customFormat="false" ht="15" hidden="false" customHeight="false" outlineLevel="0" collapsed="false">
      <c r="A5" s="16" t="s">
        <v>246</v>
      </c>
      <c r="B5" s="17" t="n">
        <f aca="false">COUNTIF(Sheet1!F2:F46,"Submitted")</f>
        <v>43</v>
      </c>
    </row>
    <row r="6" customFormat="false" ht="15" hidden="false" customHeight="false" outlineLevel="0" collapsed="false">
      <c r="A6" s="16" t="s">
        <v>247</v>
      </c>
      <c r="B6" s="17" t="n">
        <f aca="false">COUNTIF(Sheet1!F2:F46,"Incomplete")</f>
        <v>0</v>
      </c>
    </row>
    <row r="7" customFormat="false" ht="15" hidden="false" customHeight="false" outlineLevel="0" collapsed="false">
      <c r="A7" s="16" t="s">
        <v>248</v>
      </c>
      <c r="B7" s="17" t="n">
        <f aca="false">COUNTIF(Sheet1!F2:F46,"Not Submitted")</f>
        <v>2</v>
      </c>
    </row>
    <row r="8" customFormat="false" ht="15" hidden="false" customHeight="false" outlineLevel="0" collapsed="false">
      <c r="A8" s="16" t="s">
        <v>249</v>
      </c>
      <c r="B8" s="17" t="n">
        <f aca="false">COUNTIF(Sheet1!E2:E46,"Repository Not Found")+COUNTIF(Sheet1!E2:E46,"Private Repository")+COUNTIF(Sheet1!E2:E46,"Invalid Link")+COUNTIF(Sheet1!E2:E46,"Access Denied")+COUNTIF(Sheet1!E2:E46,"Empty Repository")</f>
        <v>2</v>
      </c>
    </row>
    <row r="9" customFormat="false" ht="15" hidden="false" customHeight="false" outlineLevel="0" collapsed="false">
      <c r="A9" s="16" t="s">
        <v>250</v>
      </c>
      <c r="B9" s="17" t="n">
        <f aca="false">COUNTIF(Sheet1!S2:S46,"Yes")</f>
        <v>20</v>
      </c>
    </row>
    <row r="10" customFormat="false" ht="15" hidden="false" customHeight="false" outlineLevel="0" collapsed="false">
      <c r="A10" s="16" t="s">
        <v>251</v>
      </c>
      <c r="B10" s="17" t="n">
        <f aca="false">ROUND(AVERAGE(Sheet1!P2:P46),1)</f>
        <v>61.2</v>
      </c>
    </row>
    <row r="11" customFormat="false" ht="15" hidden="false" customHeight="false" outlineLevel="0" collapsed="false">
      <c r="A11" s="16" t="s">
        <v>252</v>
      </c>
      <c r="B11" s="17" t="n">
        <f aca="false">MAX(Sheet1!P2:P46)</f>
        <v>94</v>
      </c>
    </row>
    <row r="12" customFormat="false" ht="15" hidden="false" customHeight="false" outlineLevel="0" collapsed="false">
      <c r="A12" s="16" t="s">
        <v>253</v>
      </c>
      <c r="B12" s="17" t="n">
        <f aca="false">MIN(Sheet1!P2:P46)</f>
        <v>0</v>
      </c>
    </row>
    <row r="14" customFormat="false" ht="15" hidden="false" customHeight="false" outlineLevel="0" collapsed="false">
      <c r="A14" s="15" t="s">
        <v>254</v>
      </c>
      <c r="B14" s="15" t="s">
        <v>255</v>
      </c>
    </row>
    <row r="15" customFormat="false" ht="15" hidden="false" customHeight="false" outlineLevel="0" collapsed="false">
      <c r="A15" s="17" t="s">
        <v>256</v>
      </c>
      <c r="B15" s="17" t="n">
        <f aca="false">COUNTIF(Sheet1!Q2:Q46,1)</f>
        <v>0</v>
      </c>
    </row>
    <row r="16" customFormat="false" ht="15" hidden="false" customHeight="false" outlineLevel="0" collapsed="false">
      <c r="A16" s="17" t="s">
        <v>257</v>
      </c>
      <c r="B16" s="17" t="n">
        <f aca="false">COUNTIF(Sheet1!Q2:Q46,1.25)</f>
        <v>2</v>
      </c>
    </row>
    <row r="17" customFormat="false" ht="15" hidden="false" customHeight="false" outlineLevel="0" collapsed="false">
      <c r="A17" s="17" t="s">
        <v>258</v>
      </c>
      <c r="B17" s="17" t="n">
        <f aca="false">COUNTIF(Sheet1!Q2:Q46,1.5)</f>
        <v>1</v>
      </c>
    </row>
    <row r="18" customFormat="false" ht="15" hidden="false" customHeight="false" outlineLevel="0" collapsed="false">
      <c r="A18" s="17" t="s">
        <v>259</v>
      </c>
      <c r="B18" s="17" t="n">
        <f aca="false">COUNTIF(Sheet1!Q2:Q46,1.75)</f>
        <v>8</v>
      </c>
    </row>
    <row r="19" customFormat="false" ht="15" hidden="false" customHeight="false" outlineLevel="0" collapsed="false">
      <c r="A19" s="17" t="s">
        <v>260</v>
      </c>
      <c r="B19" s="17" t="n">
        <f aca="false">COUNTIF(Sheet1!Q2:Q46,2)</f>
        <v>4</v>
      </c>
    </row>
    <row r="20" customFormat="false" ht="15" hidden="false" customHeight="false" outlineLevel="0" collapsed="false">
      <c r="A20" s="17" t="s">
        <v>261</v>
      </c>
      <c r="B20" s="17" t="n">
        <f aca="false">COUNTIF(Sheet1!Q2:Q46,2.25)</f>
        <v>3</v>
      </c>
    </row>
    <row r="21" customFormat="false" ht="15" hidden="false" customHeight="false" outlineLevel="0" collapsed="false">
      <c r="A21" s="17" t="s">
        <v>262</v>
      </c>
      <c r="B21" s="17" t="n">
        <f aca="false">COUNTIF(Sheet1!Q2:Q46,2.5)</f>
        <v>3</v>
      </c>
    </row>
    <row r="22" customFormat="false" ht="15" hidden="false" customHeight="false" outlineLevel="0" collapsed="false">
      <c r="A22" s="17" t="s">
        <v>263</v>
      </c>
      <c r="B22" s="17" t="n">
        <f aca="false">COUNTIF(Sheet1!Q2:Q46,2.75)</f>
        <v>3</v>
      </c>
    </row>
    <row r="23" customFormat="false" ht="15" hidden="false" customHeight="false" outlineLevel="0" collapsed="false">
      <c r="A23" s="17" t="s">
        <v>264</v>
      </c>
      <c r="B23" s="17" t="n">
        <f aca="false">COUNTIF(Sheet1!Q2:Q46,3)</f>
        <v>5</v>
      </c>
    </row>
    <row r="24" customFormat="false" ht="15" hidden="false" customHeight="false" outlineLevel="0" collapsed="false">
      <c r="A24" s="17" t="s">
        <v>265</v>
      </c>
      <c r="B24" s="17" t="n">
        <f aca="false">COUNTIF(Sheet1!Q2:Q46,5)</f>
        <v>14</v>
      </c>
    </row>
    <row r="26" customFormat="false" ht="15" hidden="false" customHeight="false" outlineLevel="0" collapsed="false">
      <c r="A26" s="18" t="s">
        <v>266</v>
      </c>
    </row>
    <row r="27" customFormat="false" ht="15" hidden="false" customHeight="false" outlineLevel="0" collapsed="false">
      <c r="A27" s="17" t="s">
        <v>267</v>
      </c>
      <c r="B27" s="17" t="n">
        <v>18</v>
      </c>
    </row>
    <row r="28" customFormat="false" ht="15" hidden="false" customHeight="false" outlineLevel="0" collapsed="false">
      <c r="A28" s="17" t="s">
        <v>268</v>
      </c>
      <c r="B28" s="17" t="n">
        <v>2</v>
      </c>
    </row>
    <row r="30" customFormat="false" ht="15" hidden="false" customHeight="false" outlineLevel="0" collapsed="false">
      <c r="A30" s="18" t="s">
        <v>269</v>
      </c>
    </row>
    <row r="31" customFormat="false" ht="159.75" hidden="false" customHeight="true" outlineLevel="0" collapsed="false">
      <c r="A31" s="19"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2026-07-06T03:47:54Z</dcterms:created>
  <dc:creator>Aldrin Soriano</dc:creator>
  <dc:description/>
  <dc:language>en-US</dc:language>
  <cp:lastModifiedBy>Aldrin Soriano</cp:lastModifiedBy>
  <dcterms:modified xsi:type="dcterms:W3CDTF">2026-07-06T11:04:32Z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