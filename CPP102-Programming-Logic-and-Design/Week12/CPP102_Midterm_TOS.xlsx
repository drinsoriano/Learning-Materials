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ldrin/Documents/Claude/Projects/PLD/Learning-Materials/CPP102-Programming-Logic-and-Design/Week12/"/>
    </mc:Choice>
  </mc:AlternateContent>
  <xr:revisionPtr revIDLastSave="0" documentId="13_ncr:1_{8CC5B9D1-67F0-B542-84C0-CE66E1D82787}" xr6:coauthVersionLast="47" xr6:coauthVersionMax="47" xr10:uidLastSave="{00000000-0000-0000-0000-000000000000}"/>
  <bookViews>
    <workbookView showHorizontalScroll="0" showVerticalScroll="0" showSheetTabs="0" xWindow="0" yWindow="660" windowWidth="29400" windowHeight="16680" tabRatio="500" xr2:uid="{00000000-000D-0000-FFFF-FFFF00000000}"/>
  </bookViews>
  <sheets>
    <sheet name="Sheet1" sheetId="1" r:id="rId1"/>
  </sheets>
  <definedNames>
    <definedName name="_xlnm.Print_Area" localSheetId="0">Sheet1!$A$1:$P$32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J25" i="1"/>
  <c r="H25" i="1"/>
  <c r="F25" i="1"/>
  <c r="D25" i="1"/>
  <c r="B25" i="1"/>
  <c r="N24" i="1"/>
  <c r="N23" i="1"/>
  <c r="N22" i="1"/>
  <c r="N21" i="1"/>
  <c r="N20" i="1"/>
  <c r="N19" i="1"/>
  <c r="N18" i="1"/>
  <c r="N17" i="1"/>
  <c r="N25" i="1" s="1"/>
</calcChain>
</file>

<file path=xl/sharedStrings.xml><?xml version="1.0" encoding="utf-8"?>
<sst xmlns="http://schemas.openxmlformats.org/spreadsheetml/2006/main" count="121" uniqueCount="90">
  <si>
    <t>PNC:AA-FO-15 rev.2 07172023</t>
  </si>
  <si>
    <t>Republic of the Philippines</t>
  </si>
  <si>
    <t>Pamantasan ng Cabuyao</t>
  </si>
  <si>
    <t>(University of Cabuyao)</t>
  </si>
  <si>
    <t xml:space="preserve">Academic Affairs Division </t>
  </si>
  <si>
    <t>Katapatan Mutual Homes, Brgy. Banay-banay, City of Cabuyao, Laguna 4025</t>
  </si>
  <si>
    <t>TABLE OF SPECIFICATIONS (TOS)</t>
  </si>
  <si>
    <t>Department:</t>
  </si>
  <si>
    <t>Computer Engineering</t>
  </si>
  <si>
    <t>1st</t>
  </si>
  <si>
    <t>sem/Academic Year</t>
  </si>
  <si>
    <t>2026-2027</t>
  </si>
  <si>
    <t xml:space="preserve">Course Code: </t>
  </si>
  <si>
    <t>CPP102</t>
  </si>
  <si>
    <t>Course Title:</t>
  </si>
  <si>
    <t>Programming Logic and Design</t>
  </si>
  <si>
    <t>Term/Quarter:</t>
  </si>
  <si>
    <t>Midterm</t>
  </si>
  <si>
    <t>TOPIC</t>
  </si>
  <si>
    <t>LOTS (60%)</t>
  </si>
  <si>
    <t>HOTS (40%)</t>
  </si>
  <si>
    <t>TOTAL</t>
  </si>
  <si>
    <t>Number of Teaching Hours spent for Topic</t>
  </si>
  <si>
    <t>Comments/
Remarks</t>
  </si>
  <si>
    <t>Remembering</t>
  </si>
  <si>
    <t>Understanding</t>
  </si>
  <si>
    <t>Applying</t>
  </si>
  <si>
    <t>Analyzing</t>
  </si>
  <si>
    <t>Evaluating</t>
  </si>
  <si>
    <t>Creating</t>
  </si>
  <si>
    <t>No. of Test Items</t>
  </si>
  <si>
    <t>Fundamental Iteration and Loop Control — Explain the purpose of repetition; identify loop initialization, condition and update; distinguish counter-controlled from condition-controlled repetition; apply counters and accumulators; recognize sentinel-controlled repetition and common looping errors. (Week 7)</t>
  </si>
  <si>
    <t>I-2
1 item / 1 pt</t>
  </si>
  <si>
    <t>I-1, I-6, I-7, I-13
4 items / 4 pts</t>
  </si>
  <si>
    <t>—</t>
  </si>
  <si>
    <t>I-11
1 item / 1 pt</t>
  </si>
  <si>
    <t>LOTS 5 + HOTS 1 = 6 pts (6%)</t>
  </si>
  <si>
    <t>The range() Function and Loop Boundaries — Determine the values produced by range() in all three forms, including a negative step, and detect off-by-one errors. (Week 7)</t>
  </si>
  <si>
    <t>I-3, I-4, I-12
3 items / 3 pts</t>
  </si>
  <si>
    <t>I-5
1 item / 1 pt</t>
  </si>
  <si>
    <t>LOTS 3 + HOTS 1 = 4 pts (4%)</t>
  </si>
  <si>
    <t>Single-Level for and while Loops, break and continue — Trace loops that count, accumulate, and apply a condition inside the loop body. (Week 7)</t>
  </si>
  <si>
    <t>I-8
1 item / 1 pt</t>
  </si>
  <si>
    <t>III-1, III-2, III-3, III-4, III-5, III-6
6 items / 12 pts</t>
  </si>
  <si>
    <t>LOTS 13 = 13 pts (13%)</t>
  </si>
  <si>
    <t>Nested Loops and Multi-Level Iteration — Analyze outer- and inner-loop execution order, count inner-loop executions, and trace nested loops that use break, continue, and a dependent inner boundary. (Week 8)</t>
  </si>
  <si>
    <t>I-10
1 item / 1 pt</t>
  </si>
  <si>
    <t>I-9, III-7, III-8
3 items / 5 pts</t>
  </si>
  <si>
    <t>I-14, III-9, III-10
3 items / 5 pts</t>
  </si>
  <si>
    <t>LOTS 6 + HOTS 5 = 11 pts (11%)</t>
  </si>
  <si>
    <t>Functions Fundamentals — Define and call functions, distinguish parameters from arguments, use return values, distinguish print() from return, identify the predefined process symbol, and test a function at its boundary value. (Week 9)</t>
  </si>
  <si>
    <t>I-15, I-25, I-27
3 items / 3 pts</t>
  </si>
  <si>
    <t>I-16, I-17
2 items / 2 pts</t>
  </si>
  <si>
    <t>II-1, II-2, II-3
3 items / 9 pts</t>
  </si>
  <si>
    <t>II-6
1 item / 3 pts</t>
  </si>
  <si>
    <t>I-30
1 item / 1 pt</t>
  </si>
  <si>
    <t>LOTS 14 + HOTS 4 = 18 pts (18%)</t>
  </si>
  <si>
    <t>Argument Forms — Apply multiple parameters, positional arguments, default parameters and keyword arguments, and evaluate the validity of a function call. (Week 10)</t>
  </si>
  <si>
    <t>I-19, I-29
2 items / 2 pts</t>
  </si>
  <si>
    <t>I-23, II-4, II-5
3 items / 7 pts</t>
  </si>
  <si>
    <t>I-18, I-24
2 items / 2 pts</t>
  </si>
  <si>
    <t>LOTS 9 + HOTS 2 = 11 pts (11%)</t>
  </si>
  <si>
    <t>Variable Scope and Data Flow Among Functions — Distinguish local from global variables, analyze scope and name hiding, trace data flowing from one function to another, and debug a function that returns an incorrect result. (Week 10)</t>
  </si>
  <si>
    <t>I-20, I-22
2 items / 2 pts</t>
  </si>
  <si>
    <t>I-21, I-26
2 items / 2 pts</t>
  </si>
  <si>
    <t>I-28, II-7, II-8, II-10
4 items / 10 pts</t>
  </si>
  <si>
    <t>II-9
1 item / 3 pts</t>
  </si>
  <si>
    <t>LOTS 4 + HOTS 13 = 17 pts (17%)</t>
  </si>
  <si>
    <t>Integrated Function Tracing — Analyze functions that contain nested conditional statements, loops, default arguments and function-to-function data flow, and determine the exact output produced. (Weeks 7–10, building on the conditional statements of Week 5)</t>
  </si>
  <si>
    <t>IV-1, IV-2, IV-7
3 items / 6 pts</t>
  </si>
  <si>
    <t>IV-3, IV-4, IV-5, IV-6, IV-8, IV-9, IV-10
7 items / 14 pts</t>
  </si>
  <si>
    <t>LOTS 6 + HOTS 14 = 20 pts (20%)</t>
  </si>
  <si>
    <t>TOTAL POINTS</t>
  </si>
  <si>
    <t>LOTS 60 (60%); HOTS 40 (40%)</t>
  </si>
  <si>
    <t>TOTAL TEST COMPONENTS</t>
  </si>
  <si>
    <t>5 components</t>
  </si>
  <si>
    <t>11 components</t>
  </si>
  <si>
    <t>23 components</t>
  </si>
  <si>
    <t>19 components</t>
  </si>
  <si>
    <t>2 components</t>
  </si>
  <si>
    <t>0 components</t>
  </si>
  <si>
    <t>60 components</t>
  </si>
  <si>
    <t>Notation: I-# = Part I multiple-choice item (1 pt each); II-# = Part II Functions Assessment problem (3 pts each); III-# = Part III iteration-tracing program (2 pts each); IV-A = IPO (3 pts), IV-B = Algorithm (4 pts), IV-C = Pseudocode (5 pts), IV-D = Flowchart (8 pts). Entries are weighted points, and every examination item appears exactly once, in one cognitive level only; no item is counted twice. PART II (30 pts) also serves as the formal Functions Assessment; that score is a SUBSET of the 100-point Midterm Examination total and is not an additional score. LOTS = Remembering + Understanding + Applying = 60 pts (60%). HOTS = Analyzing + Evaluating + Creating = 40 pts (40%). Grand Total = 100 pts (100%).</t>
  </si>
  <si>
    <t>Signature over Printed Name of Teaching Personnel</t>
  </si>
  <si>
    <t>Signature over Printed Name of Chair/Coordinator</t>
  </si>
  <si>
    <t>Signature over Printed Name of Dean/Principal</t>
  </si>
  <si>
    <t>Date: ______________________</t>
  </si>
  <si>
    <t>TOS Reviewed by:</t>
  </si>
  <si>
    <t>TOS Prepared by:</t>
  </si>
  <si>
    <t>TOS Noted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</si>
</sst>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rgb="FF000000"/>
      <name val="Calibri"/>
      <family val="2"/>
    </font>
    <font>
      <sz val="10"/>
      <name val="Century Gothic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color rgb="FF000000"/>
      <name val="Times New Roman"/>
      <family val="1"/>
    </font>
    <font>
      <b/>
      <sz val="22"/>
      <color rgb="FF003300"/>
      <name val="Old English Text MT"/>
      <family val="4"/>
    </font>
    <font>
      <b/>
      <sz val="14"/>
      <color rgb="FF000000"/>
      <name val="Century Gothic"/>
      <family val="2"/>
    </font>
    <font>
      <b/>
      <sz val="10"/>
      <name val="Century Gothic"/>
      <family val="2"/>
    </font>
    <font>
      <sz val="8.5"/>
      <name val="Century Gothic"/>
      <family val="2"/>
    </font>
    <font>
      <b/>
      <sz val="20"/>
      <color rgb="FF003300"/>
      <name val="Old English Text MT"/>
      <family val="4"/>
    </font>
    <font>
      <sz val="12"/>
      <name val="Copperplate Gothic Light"/>
      <family val="2"/>
    </font>
    <font>
      <b/>
      <sz val="10"/>
      <color rgb="FF000000"/>
      <name val="Century Gothic"/>
      <family val="2"/>
    </font>
    <font>
      <sz val="14"/>
      <color rgb="FF000000"/>
      <name val="Copperplate Gothic Light"/>
      <family val="2"/>
    </font>
    <font>
      <b/>
      <sz val="9"/>
      <name val="Verdana"/>
      <family val="2"/>
    </font>
    <font>
      <sz val="10"/>
      <color rgb="FF000000"/>
      <name val="Century Gothic"/>
      <family val="2"/>
    </font>
    <font>
      <b/>
      <i/>
      <sz val="12"/>
      <color rgb="FF000000"/>
      <name val="Calibri Light"/>
      <family val="2"/>
    </font>
    <font>
      <sz val="8"/>
      <name val="Century Gothic"/>
      <family val="2"/>
    </font>
    <font>
      <sz val="9"/>
      <color rgb="FF000000"/>
      <name val="Times New Roman"/>
      <family val="1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8"/>
      <color rgb="FF000000"/>
      <name val="Century Gothic"/>
      <family val="2"/>
    </font>
    <font>
      <sz val="9"/>
      <color rgb="FF000000"/>
      <name val="Century Gothic"/>
      <family val="2"/>
    </font>
    <font>
      <sz val="11"/>
      <name val="Century Gothic"/>
      <family val="2"/>
    </font>
    <font>
      <i/>
      <sz val="11"/>
      <color rgb="FF000000"/>
      <name val="Century Gothic"/>
      <family val="2"/>
    </font>
    <font>
      <sz val="9"/>
      <color rgb="FF000000"/>
      <name val="Calibri"/>
      <family val="2"/>
    </font>
    <font>
      <sz val="9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rial Narrow"/>
      <family val="2"/>
    </font>
    <font>
      <sz val="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C0C0C0"/>
        <bgColor rgb="FFCCCCFF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6" fillId="0" borderId="0" xfId="0" applyFont="1" applyAlignment="1">
      <alignment horizontal="left" vertical="center" indent="9"/>
    </xf>
    <xf numFmtId="0" fontId="6" fillId="2" borderId="0" xfId="0" applyFont="1" applyFill="1" applyAlignment="1">
      <alignment horizontal="left" vertical="center" indent="9"/>
    </xf>
    <xf numFmtId="0" fontId="7" fillId="0" borderId="0" xfId="0" applyFont="1"/>
    <xf numFmtId="0" fontId="7" fillId="2" borderId="0" xfId="0" applyFont="1" applyFill="1"/>
    <xf numFmtId="0" fontId="2" fillId="0" borderId="0" xfId="0" applyFont="1"/>
    <xf numFmtId="0" fontId="2" fillId="2" borderId="0" xfId="0" applyFont="1" applyFill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 indent="9"/>
    </xf>
    <xf numFmtId="0" fontId="11" fillId="2" borderId="0" xfId="0" applyFont="1" applyFill="1" applyAlignment="1">
      <alignment horizontal="left" vertical="center" indent="9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 indent="15"/>
    </xf>
    <xf numFmtId="0" fontId="14" fillId="0" borderId="0" xfId="0" applyFont="1" applyAlignment="1">
      <alignment horizontal="left" vertical="center" indent="9"/>
    </xf>
    <xf numFmtId="0" fontId="14" fillId="2" borderId="0" xfId="0" applyFont="1" applyFill="1" applyAlignment="1">
      <alignment horizontal="left" vertical="center" indent="9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5" fillId="0" borderId="0" xfId="0" applyFont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0" borderId="0" xfId="0" applyFont="1" applyAlignment="1">
      <alignment horizontal="left" vertical="center"/>
    </xf>
    <xf numFmtId="0" fontId="18" fillId="0" borderId="0" xfId="0" applyFont="1"/>
    <xf numFmtId="0" fontId="11" fillId="0" borderId="0" xfId="0" applyFont="1"/>
    <xf numFmtId="0" fontId="11" fillId="0" borderId="1" xfId="0" applyFont="1" applyBorder="1"/>
    <xf numFmtId="0" fontId="18" fillId="0" borderId="1" xfId="0" applyFont="1" applyBorder="1"/>
    <xf numFmtId="0" fontId="11" fillId="0" borderId="2" xfId="0" applyFont="1" applyBorder="1"/>
    <xf numFmtId="0" fontId="19" fillId="0" borderId="0" xfId="0" applyFont="1"/>
    <xf numFmtId="0" fontId="20" fillId="4" borderId="4" xfId="0" applyFont="1" applyFill="1" applyBorder="1" applyAlignment="1">
      <alignment horizontal="center" vertical="center" wrapText="1"/>
    </xf>
    <xf numFmtId="9" fontId="0" fillId="0" borderId="0" xfId="0" applyNumberFormat="1"/>
    <xf numFmtId="0" fontId="22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vertical="top" wrapText="1"/>
    </xf>
    <xf numFmtId="0" fontId="19" fillId="0" borderId="4" xfId="0" applyFont="1" applyBorder="1" applyAlignment="1">
      <alignment horizontal="center" vertical="top" wrapText="1"/>
    </xf>
    <xf numFmtId="0" fontId="18" fillId="0" borderId="0" xfId="0" applyFont="1" applyAlignment="1">
      <alignment horizontal="right"/>
    </xf>
    <xf numFmtId="0" fontId="18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/>
    <xf numFmtId="0" fontId="24" fillId="0" borderId="0" xfId="0" applyFont="1"/>
    <xf numFmtId="0" fontId="19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0" fontId="27" fillId="0" borderId="0" xfId="0" applyFont="1"/>
    <xf numFmtId="0" fontId="21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0" xfId="0" applyFont="1"/>
    <xf numFmtId="0" fontId="18" fillId="0" borderId="4" xfId="0" applyFont="1" applyBorder="1"/>
    <xf numFmtId="0" fontId="19" fillId="0" borderId="4" xfId="0" applyFont="1" applyBorder="1"/>
    <xf numFmtId="0" fontId="20" fillId="4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22" fillId="0" borderId="4" xfId="0" applyFont="1" applyBorder="1" applyAlignment="1">
      <alignment horizontal="center" vertical="top" wrapText="1"/>
    </xf>
    <xf numFmtId="0" fontId="0" fillId="0" borderId="8" xfId="0" applyBorder="1"/>
    <xf numFmtId="0" fontId="18" fillId="3" borderId="4" xfId="0" applyFont="1" applyFill="1" applyBorder="1" applyAlignment="1">
      <alignment horizontal="center"/>
    </xf>
    <xf numFmtId="0" fontId="0" fillId="0" borderId="2" xfId="0" applyBorder="1"/>
    <xf numFmtId="0" fontId="18" fillId="3" borderId="0" xfId="0" applyFont="1" applyFill="1" applyAlignment="1">
      <alignment horizontal="center"/>
    </xf>
    <xf numFmtId="0" fontId="0" fillId="0" borderId="0" xfId="0"/>
    <xf numFmtId="0" fontId="18" fillId="4" borderId="3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3" xfId="0" applyBorder="1"/>
    <xf numFmtId="0" fontId="18" fillId="4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18" fillId="4" borderId="5" xfId="0" applyFont="1" applyFill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642600</xdr:colOff>
      <xdr:row>0</xdr:row>
      <xdr:rowOff>12460</xdr:rowOff>
    </xdr:from>
    <xdr:to>
      <xdr:col>0</xdr:col>
      <xdr:colOff>1749240</xdr:colOff>
      <xdr:row>7</xdr:row>
      <xdr:rowOff>158566</xdr:rowOff>
    </xdr:to>
    <xdr:pic>
      <xdr:nvPicPr>
        <xdr:cNvPr id="2" name="Picture 1" descr="A picture containing logo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600" y="12460"/>
          <a:ext cx="1106640" cy="1365306"/>
        </a:xfrm>
        <a:prstGeom prst="rect">
          <a:avLst/>
        </a:prstGeom>
        <a:noFill/>
        <a:ln w="0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36"/>
  <sheetViews>
    <sheetView tabSelected="1" view="pageBreakPreview" topLeftCell="A18" zoomScaleNormal="116" workbookViewId="0">
      <selection activeCell="A20" sqref="A20"/>
    </sheetView>
  </sheetViews>
  <sheetFormatPr baseColWidth="10" defaultColWidth="9" defaultRowHeight="15"/>
  <cols>
    <col min="1" max="1" width="36.1640625" customWidth="1"/>
    <col min="2" max="2" width="10.83203125" customWidth="1"/>
    <col min="3" max="3" width="5.33203125" customWidth="1"/>
    <col min="4" max="4" width="10.83203125" customWidth="1"/>
    <col min="5" max="5" width="5.33203125" customWidth="1"/>
    <col min="6" max="6" width="10.83203125" customWidth="1"/>
    <col min="7" max="7" width="5.33203125" customWidth="1"/>
    <col min="8" max="8" width="10.83203125" customWidth="1"/>
    <col min="9" max="9" width="5.33203125" customWidth="1"/>
    <col min="10" max="10" width="10.83203125" customWidth="1"/>
    <col min="11" max="11" width="5.33203125" customWidth="1"/>
    <col min="12" max="12" width="10.83203125" customWidth="1"/>
    <col min="13" max="13" width="5.33203125" customWidth="1"/>
    <col min="14" max="14" width="12.1640625" customWidth="1"/>
    <col min="15" max="15" width="12.5" customWidth="1"/>
    <col min="16" max="16" width="23.1640625" customWidth="1"/>
  </cols>
  <sheetData>
    <row r="1" spans="1:35" ht="5" customHeight="1">
      <c r="A1" s="1"/>
      <c r="B1" s="1"/>
      <c r="C1" s="2"/>
      <c r="D1" s="1"/>
      <c r="E1" s="2"/>
      <c r="F1" s="1"/>
      <c r="G1" s="2"/>
      <c r="H1" s="1"/>
      <c r="I1" s="2"/>
      <c r="J1" s="1"/>
      <c r="K1" s="2"/>
      <c r="L1" s="1"/>
      <c r="M1" s="2"/>
      <c r="N1" s="1"/>
      <c r="O1" s="2"/>
      <c r="P1" s="3" t="s">
        <v>0</v>
      </c>
      <c r="Q1" s="2"/>
      <c r="S1" s="4"/>
      <c r="T1" s="4"/>
      <c r="U1" s="4"/>
      <c r="V1" s="5"/>
      <c r="W1" s="4"/>
    </row>
    <row r="2" spans="1:35" ht="18" customHeight="1">
      <c r="A2" s="1"/>
      <c r="B2" s="6" t="s">
        <v>1</v>
      </c>
      <c r="C2" s="7"/>
      <c r="D2" s="8"/>
      <c r="E2" s="9"/>
      <c r="F2" s="10"/>
      <c r="G2" s="11"/>
      <c r="H2" s="10"/>
      <c r="I2" s="11"/>
      <c r="J2" s="10"/>
      <c r="K2" s="11"/>
      <c r="L2" s="10"/>
      <c r="M2" s="11"/>
      <c r="N2" s="10"/>
      <c r="O2" s="11"/>
      <c r="P2" s="10"/>
      <c r="Q2" s="11"/>
      <c r="R2" s="10"/>
      <c r="S2" s="11"/>
      <c r="T2" s="12"/>
      <c r="U2" s="13"/>
      <c r="V2" s="10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</row>
    <row r="3" spans="1:35" ht="24.5" customHeight="1">
      <c r="A3" s="1"/>
      <c r="B3" s="15" t="s">
        <v>2</v>
      </c>
      <c r="C3" s="16"/>
      <c r="D3" s="17"/>
      <c r="E3" s="18"/>
      <c r="F3" s="1"/>
      <c r="G3" s="2"/>
      <c r="H3" s="1"/>
      <c r="I3" s="2"/>
      <c r="J3" s="1"/>
      <c r="K3" s="2"/>
      <c r="L3" s="1"/>
      <c r="M3" s="2"/>
      <c r="N3" s="1"/>
      <c r="O3" s="2"/>
      <c r="P3" s="1"/>
      <c r="Q3" s="2"/>
      <c r="S3" s="2"/>
      <c r="U3" s="2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spans="1:35" ht="17.5" customHeight="1">
      <c r="A4" s="1"/>
      <c r="B4" s="19" t="s">
        <v>3</v>
      </c>
      <c r="C4" s="20"/>
      <c r="D4" s="21"/>
      <c r="E4" s="22"/>
      <c r="F4" s="23"/>
      <c r="G4" s="24"/>
      <c r="H4" s="23"/>
      <c r="I4" s="24"/>
      <c r="J4" s="23"/>
      <c r="K4" s="24"/>
      <c r="L4" s="23"/>
      <c r="M4" s="24"/>
      <c r="N4" s="1"/>
      <c r="O4" s="2"/>
      <c r="P4" s="23"/>
      <c r="Q4" s="24"/>
      <c r="R4" s="23"/>
      <c r="S4" s="24"/>
      <c r="U4" s="2"/>
      <c r="V4" s="23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ht="15.5" customHeight="1">
      <c r="A5" s="1"/>
      <c r="B5" s="25" t="s">
        <v>4</v>
      </c>
      <c r="C5" s="26"/>
      <c r="D5" s="21"/>
      <c r="E5" s="22"/>
      <c r="F5" s="23"/>
      <c r="G5" s="24"/>
      <c r="H5" s="23"/>
      <c r="I5" s="24"/>
      <c r="J5" s="23"/>
      <c r="K5" s="24"/>
      <c r="L5" s="23"/>
      <c r="M5" s="24"/>
      <c r="N5" s="1"/>
      <c r="O5" s="2"/>
      <c r="P5" s="23"/>
      <c r="Q5" s="24"/>
      <c r="R5" s="23"/>
      <c r="S5" s="24"/>
      <c r="U5" s="2"/>
      <c r="V5" s="23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</row>
    <row r="6" spans="1:35" ht="13.75" customHeight="1">
      <c r="A6" s="1"/>
      <c r="B6" s="27" t="s">
        <v>5</v>
      </c>
      <c r="C6" s="24"/>
      <c r="D6" s="23"/>
      <c r="E6" s="24"/>
      <c r="F6" s="23"/>
      <c r="G6" s="24"/>
      <c r="H6" s="23"/>
      <c r="I6" s="24"/>
      <c r="J6" s="23"/>
      <c r="K6" s="24"/>
      <c r="L6" s="23"/>
      <c r="M6" s="24"/>
      <c r="N6" s="1"/>
      <c r="O6" s="2"/>
      <c r="P6" s="23"/>
      <c r="Q6" s="24"/>
      <c r="R6" s="23"/>
      <c r="S6" s="24"/>
      <c r="U6" s="2"/>
      <c r="V6" s="23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</row>
    <row r="7" spans="1:35" ht="4.75" customHeight="1"/>
    <row r="8" spans="1:35" ht="14.5" customHeight="1">
      <c r="A8" s="60" t="s">
        <v>6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</row>
    <row r="9" spans="1:35" ht="6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35" ht="14.5" customHeight="1">
      <c r="A10" s="29" t="s">
        <v>7</v>
      </c>
      <c r="B10" s="30" t="s">
        <v>8</v>
      </c>
      <c r="C10" s="30"/>
      <c r="D10" s="29"/>
      <c r="E10" s="30" t="s">
        <v>9</v>
      </c>
      <c r="F10" s="29" t="s">
        <v>10</v>
      </c>
      <c r="G10" s="29"/>
      <c r="H10" s="29"/>
      <c r="I10" s="30" t="s">
        <v>11</v>
      </c>
      <c r="J10" s="31"/>
      <c r="K10" s="31"/>
      <c r="L10" s="31"/>
      <c r="M10" s="31"/>
      <c r="N10" s="28"/>
      <c r="O10" s="28"/>
      <c r="P10" s="28"/>
    </row>
    <row r="11" spans="1:35" ht="14.5" customHeight="1">
      <c r="A11" s="29" t="s">
        <v>12</v>
      </c>
      <c r="B11" s="32" t="s">
        <v>13</v>
      </c>
      <c r="C11" s="32"/>
      <c r="D11" s="29"/>
      <c r="E11" s="29" t="s">
        <v>14</v>
      </c>
      <c r="F11" s="29"/>
      <c r="G11" s="30" t="s">
        <v>15</v>
      </c>
      <c r="H11" s="30"/>
      <c r="I11" s="30"/>
      <c r="J11" s="31"/>
      <c r="K11" s="31"/>
      <c r="L11" s="31"/>
      <c r="M11" s="31"/>
      <c r="N11" s="28"/>
      <c r="O11" s="28"/>
      <c r="P11" s="28"/>
    </row>
    <row r="12" spans="1:35" ht="14.5" customHeight="1">
      <c r="A12" s="29" t="s">
        <v>16</v>
      </c>
      <c r="B12" s="32" t="s">
        <v>17</v>
      </c>
      <c r="C12" s="32"/>
      <c r="D12" s="29"/>
      <c r="E12" s="29"/>
      <c r="F12" s="29"/>
      <c r="G12" s="29"/>
      <c r="H12" s="29"/>
      <c r="I12" s="29"/>
      <c r="J12" s="28"/>
      <c r="K12" s="28"/>
      <c r="L12" s="28"/>
      <c r="M12" s="28"/>
      <c r="N12" s="28"/>
      <c r="O12" s="28"/>
      <c r="P12" s="28"/>
    </row>
    <row r="13" spans="1:35" ht="6.5" customHeight="1">
      <c r="A13" s="33"/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</row>
    <row r="14" spans="1:35" ht="14.5" customHeight="1">
      <c r="A14" s="62" t="s">
        <v>18</v>
      </c>
      <c r="B14" s="58" t="s">
        <v>19</v>
      </c>
      <c r="C14" s="59"/>
      <c r="D14" s="59"/>
      <c r="E14" s="59"/>
      <c r="F14" s="59"/>
      <c r="G14" s="57"/>
      <c r="H14" s="58" t="s">
        <v>20</v>
      </c>
      <c r="I14" s="59"/>
      <c r="J14" s="59"/>
      <c r="K14" s="59"/>
      <c r="L14" s="59"/>
      <c r="M14" s="57"/>
      <c r="N14" s="65" t="s">
        <v>21</v>
      </c>
      <c r="O14" s="65" t="s">
        <v>22</v>
      </c>
      <c r="P14" s="65" t="s">
        <v>23</v>
      </c>
    </row>
    <row r="15" spans="1:35" ht="51" customHeight="1">
      <c r="A15" s="63"/>
      <c r="B15" s="65" t="s">
        <v>24</v>
      </c>
      <c r="C15" s="57"/>
      <c r="D15" s="65" t="s">
        <v>25</v>
      </c>
      <c r="E15" s="57"/>
      <c r="F15" s="65" t="s">
        <v>26</v>
      </c>
      <c r="G15" s="57"/>
      <c r="H15" s="65" t="s">
        <v>27</v>
      </c>
      <c r="I15" s="57"/>
      <c r="J15" s="68" t="s">
        <v>28</v>
      </c>
      <c r="K15" s="55"/>
      <c r="L15" s="68" t="s">
        <v>29</v>
      </c>
      <c r="M15" s="55"/>
      <c r="N15" s="67"/>
      <c r="O15" s="66"/>
      <c r="P15" s="66"/>
    </row>
    <row r="16" spans="1:35" ht="14.5" customHeight="1">
      <c r="A16" s="64"/>
      <c r="B16" s="54" t="s">
        <v>30</v>
      </c>
      <c r="C16" s="55"/>
      <c r="D16" s="54" t="s">
        <v>30</v>
      </c>
      <c r="E16" s="55"/>
      <c r="F16" s="54" t="s">
        <v>30</v>
      </c>
      <c r="G16" s="55"/>
      <c r="H16" s="54" t="s">
        <v>30</v>
      </c>
      <c r="I16" s="55"/>
      <c r="J16" s="54" t="s">
        <v>30</v>
      </c>
      <c r="K16" s="55"/>
      <c r="L16" s="54" t="s">
        <v>30</v>
      </c>
      <c r="M16" s="55"/>
      <c r="N16" s="34" t="s">
        <v>30</v>
      </c>
      <c r="O16" s="67"/>
      <c r="P16" s="67"/>
      <c r="R16" s="35"/>
      <c r="S16" s="35"/>
    </row>
    <row r="17" spans="1:16" ht="39" customHeight="1">
      <c r="A17" s="48" t="s">
        <v>31</v>
      </c>
      <c r="B17" s="49" t="s">
        <v>32</v>
      </c>
      <c r="C17" s="50">
        <v>1</v>
      </c>
      <c r="D17" s="49" t="s">
        <v>33</v>
      </c>
      <c r="E17" s="50">
        <v>4</v>
      </c>
      <c r="F17" s="49" t="s">
        <v>34</v>
      </c>
      <c r="G17" s="51"/>
      <c r="H17" s="49" t="s">
        <v>35</v>
      </c>
      <c r="I17" s="51">
        <v>1</v>
      </c>
      <c r="J17" s="49" t="s">
        <v>34</v>
      </c>
      <c r="K17" s="51"/>
      <c r="L17" s="49" t="s">
        <v>34</v>
      </c>
      <c r="M17" s="51"/>
      <c r="N17" s="36">
        <f t="shared" ref="N17:N24" si="0">SUM(B17:M17)</f>
        <v>6</v>
      </c>
      <c r="O17" s="36"/>
      <c r="P17" s="48" t="s">
        <v>36</v>
      </c>
    </row>
    <row r="18" spans="1:16" ht="58" customHeight="1">
      <c r="A18" s="48" t="s">
        <v>37</v>
      </c>
      <c r="B18" s="49" t="s">
        <v>34</v>
      </c>
      <c r="C18" s="50"/>
      <c r="D18" s="49" t="s">
        <v>34</v>
      </c>
      <c r="E18" s="50"/>
      <c r="F18" s="49" t="s">
        <v>38</v>
      </c>
      <c r="G18" s="50">
        <v>3</v>
      </c>
      <c r="H18" s="49" t="s">
        <v>39</v>
      </c>
      <c r="I18" s="51">
        <v>1</v>
      </c>
      <c r="J18" s="49" t="s">
        <v>34</v>
      </c>
      <c r="K18" s="51"/>
      <c r="L18" s="49" t="s">
        <v>34</v>
      </c>
      <c r="M18" s="51"/>
      <c r="N18" s="36">
        <f t="shared" si="0"/>
        <v>4</v>
      </c>
      <c r="O18" s="36"/>
      <c r="P18" s="48" t="s">
        <v>40</v>
      </c>
    </row>
    <row r="19" spans="1:16" ht="39" customHeight="1">
      <c r="A19" s="48" t="s">
        <v>41</v>
      </c>
      <c r="B19" s="49" t="s">
        <v>42</v>
      </c>
      <c r="C19" s="50">
        <v>1</v>
      </c>
      <c r="D19" s="49" t="s">
        <v>34</v>
      </c>
      <c r="E19" s="50"/>
      <c r="F19" s="49" t="s">
        <v>43</v>
      </c>
      <c r="G19" s="50">
        <v>12</v>
      </c>
      <c r="H19" s="49" t="s">
        <v>34</v>
      </c>
      <c r="I19" s="51"/>
      <c r="J19" s="49" t="s">
        <v>34</v>
      </c>
      <c r="K19" s="51"/>
      <c r="L19" s="49" t="s">
        <v>34</v>
      </c>
      <c r="M19" s="51"/>
      <c r="N19" s="36">
        <f t="shared" si="0"/>
        <v>13</v>
      </c>
      <c r="O19" s="36"/>
      <c r="P19" s="48" t="s">
        <v>44</v>
      </c>
    </row>
    <row r="20" spans="1:16" ht="50" customHeight="1">
      <c r="A20" s="48" t="s">
        <v>45</v>
      </c>
      <c r="B20" s="49" t="s">
        <v>34</v>
      </c>
      <c r="C20" s="50"/>
      <c r="D20" s="49" t="s">
        <v>46</v>
      </c>
      <c r="E20" s="50">
        <v>1</v>
      </c>
      <c r="F20" s="49" t="s">
        <v>47</v>
      </c>
      <c r="G20" s="50">
        <v>5</v>
      </c>
      <c r="H20" s="49" t="s">
        <v>48</v>
      </c>
      <c r="I20" s="51">
        <v>5</v>
      </c>
      <c r="J20" s="49" t="s">
        <v>34</v>
      </c>
      <c r="K20" s="51"/>
      <c r="L20" s="49" t="s">
        <v>34</v>
      </c>
      <c r="M20" s="51"/>
      <c r="N20" s="36">
        <f t="shared" si="0"/>
        <v>11</v>
      </c>
      <c r="O20" s="36"/>
      <c r="P20" s="48" t="s">
        <v>49</v>
      </c>
    </row>
    <row r="21" spans="1:16" ht="50" customHeight="1">
      <c r="A21" s="48" t="s">
        <v>50</v>
      </c>
      <c r="B21" s="49" t="s">
        <v>51</v>
      </c>
      <c r="C21" s="50">
        <v>3</v>
      </c>
      <c r="D21" s="49" t="s">
        <v>52</v>
      </c>
      <c r="E21" s="50">
        <v>2</v>
      </c>
      <c r="F21" s="49" t="s">
        <v>53</v>
      </c>
      <c r="G21" s="50">
        <v>9</v>
      </c>
      <c r="H21" s="49" t="s">
        <v>54</v>
      </c>
      <c r="I21" s="51">
        <v>3</v>
      </c>
      <c r="J21" s="49" t="s">
        <v>55</v>
      </c>
      <c r="K21" s="51">
        <v>1</v>
      </c>
      <c r="L21" s="49" t="s">
        <v>34</v>
      </c>
      <c r="M21" s="51"/>
      <c r="N21" s="36">
        <f t="shared" si="0"/>
        <v>18</v>
      </c>
      <c r="O21" s="36"/>
      <c r="P21" s="48" t="s">
        <v>56</v>
      </c>
    </row>
    <row r="22" spans="1:16" ht="44" customHeight="1">
      <c r="A22" s="48" t="s">
        <v>57</v>
      </c>
      <c r="B22" s="49" t="s">
        <v>34</v>
      </c>
      <c r="C22" s="50"/>
      <c r="D22" s="49" t="s">
        <v>58</v>
      </c>
      <c r="E22" s="50">
        <v>2</v>
      </c>
      <c r="F22" s="49" t="s">
        <v>59</v>
      </c>
      <c r="G22" s="50">
        <v>7</v>
      </c>
      <c r="H22" s="49" t="s">
        <v>60</v>
      </c>
      <c r="I22" s="50">
        <v>2</v>
      </c>
      <c r="J22" s="49" t="s">
        <v>34</v>
      </c>
      <c r="K22" s="51"/>
      <c r="L22" s="49" t="s">
        <v>34</v>
      </c>
      <c r="M22" s="51"/>
      <c r="N22" s="36">
        <f t="shared" si="0"/>
        <v>11</v>
      </c>
      <c r="O22" s="36"/>
      <c r="P22" s="48" t="s">
        <v>61</v>
      </c>
    </row>
    <row r="23" spans="1:16" ht="46" customHeight="1">
      <c r="A23" s="48" t="s">
        <v>62</v>
      </c>
      <c r="B23" s="49" t="s">
        <v>34</v>
      </c>
      <c r="C23" s="51"/>
      <c r="D23" s="49" t="s">
        <v>63</v>
      </c>
      <c r="E23" s="51">
        <v>2</v>
      </c>
      <c r="F23" s="49" t="s">
        <v>64</v>
      </c>
      <c r="G23" s="50">
        <v>2</v>
      </c>
      <c r="H23" s="49" t="s">
        <v>65</v>
      </c>
      <c r="I23" s="50">
        <v>10</v>
      </c>
      <c r="J23" s="49" t="s">
        <v>66</v>
      </c>
      <c r="K23" s="50">
        <v>3</v>
      </c>
      <c r="L23" s="49" t="s">
        <v>34</v>
      </c>
      <c r="M23" s="50"/>
      <c r="N23" s="36">
        <f t="shared" si="0"/>
        <v>17</v>
      </c>
      <c r="O23" s="36"/>
      <c r="P23" s="48" t="s">
        <v>67</v>
      </c>
    </row>
    <row r="24" spans="1:16" ht="37" customHeight="1">
      <c r="A24" s="48" t="s">
        <v>68</v>
      </c>
      <c r="B24" s="49" t="s">
        <v>34</v>
      </c>
      <c r="C24" s="50"/>
      <c r="D24" s="49" t="s">
        <v>34</v>
      </c>
      <c r="E24" s="51"/>
      <c r="F24" s="49" t="s">
        <v>69</v>
      </c>
      <c r="G24" s="51">
        <v>6</v>
      </c>
      <c r="H24" s="49" t="s">
        <v>70</v>
      </c>
      <c r="I24" s="51">
        <v>14</v>
      </c>
      <c r="J24" s="49" t="s">
        <v>34</v>
      </c>
      <c r="K24" s="51"/>
      <c r="L24" s="49" t="s">
        <v>34</v>
      </c>
      <c r="M24" s="51"/>
      <c r="N24" s="36">
        <f t="shared" si="0"/>
        <v>20</v>
      </c>
      <c r="O24" s="36"/>
      <c r="P24" s="48" t="s">
        <v>71</v>
      </c>
    </row>
    <row r="25" spans="1:16" ht="28" customHeight="1">
      <c r="A25" s="37" t="s">
        <v>72</v>
      </c>
      <c r="B25" s="56">
        <f>SUM(B17:C24)</f>
        <v>5</v>
      </c>
      <c r="C25" s="57"/>
      <c r="D25" s="56">
        <f>SUM(D17:E24)</f>
        <v>11</v>
      </c>
      <c r="E25" s="57"/>
      <c r="F25" s="56">
        <f>SUM(F17:G24)</f>
        <v>44</v>
      </c>
      <c r="G25" s="57"/>
      <c r="H25" s="56">
        <f>SUM(H17:I24)</f>
        <v>36</v>
      </c>
      <c r="I25" s="57"/>
      <c r="J25" s="56">
        <f>SUM(J17:K24)</f>
        <v>4</v>
      </c>
      <c r="K25" s="57"/>
      <c r="L25" s="56">
        <f>SUM(L17:M24)</f>
        <v>0</v>
      </c>
      <c r="M25" s="57"/>
      <c r="N25" s="36">
        <f>SUM(N17:N24)</f>
        <v>100</v>
      </c>
      <c r="O25" s="38"/>
      <c r="P25" s="48" t="s">
        <v>73</v>
      </c>
    </row>
    <row r="26" spans="1:16" ht="17" customHeight="1">
      <c r="A26" s="52" t="s">
        <v>74</v>
      </c>
      <c r="B26" s="69" t="s">
        <v>75</v>
      </c>
      <c r="C26" s="57"/>
      <c r="D26" s="69" t="s">
        <v>76</v>
      </c>
      <c r="E26" s="57"/>
      <c r="F26" s="69" t="s">
        <v>77</v>
      </c>
      <c r="G26" s="57"/>
      <c r="H26" s="69" t="s">
        <v>78</v>
      </c>
      <c r="I26" s="57"/>
      <c r="J26" s="69" t="s">
        <v>79</v>
      </c>
      <c r="K26" s="57"/>
      <c r="L26" s="69" t="s">
        <v>80</v>
      </c>
      <c r="M26" s="57"/>
      <c r="N26" s="49" t="s">
        <v>81</v>
      </c>
      <c r="O26" s="53"/>
      <c r="P26" s="53"/>
    </row>
    <row r="27" spans="1:16" ht="57" customHeight="1">
      <c r="A27" s="70" t="s">
        <v>82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</row>
    <row r="28" spans="1:16" ht="6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</row>
    <row r="29" spans="1:16" ht="8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9"/>
      <c r="M29" s="33"/>
      <c r="N29" s="33"/>
      <c r="O29" s="33"/>
      <c r="P29" s="33"/>
    </row>
    <row r="30" spans="1:16" ht="14.5" customHeight="1">
      <c r="A30" s="40" t="s">
        <v>88</v>
      </c>
      <c r="B30" s="33"/>
      <c r="C30" s="33"/>
      <c r="D30" s="33"/>
      <c r="F30" s="40" t="s">
        <v>87</v>
      </c>
      <c r="G30" s="33"/>
      <c r="H30" s="33"/>
      <c r="I30" s="33"/>
      <c r="J30" s="33"/>
      <c r="K30" s="33"/>
      <c r="M30" s="40" t="s">
        <v>89</v>
      </c>
      <c r="O30" s="33"/>
      <c r="P30" s="33"/>
    </row>
    <row r="31" spans="1:16" ht="14.5" customHeight="1">
      <c r="A31" s="41" t="s">
        <v>83</v>
      </c>
      <c r="B31" s="42"/>
      <c r="C31" s="42"/>
      <c r="D31" s="42"/>
      <c r="E31" s="43"/>
      <c r="F31" s="41" t="s">
        <v>84</v>
      </c>
      <c r="G31" s="42"/>
      <c r="H31" s="42"/>
      <c r="I31" s="42"/>
      <c r="J31" s="42"/>
      <c r="K31" s="42"/>
      <c r="L31" s="43"/>
      <c r="M31" s="41" t="s">
        <v>85</v>
      </c>
      <c r="N31" s="43"/>
      <c r="O31" s="42"/>
      <c r="P31" s="42"/>
    </row>
    <row r="32" spans="1:16" ht="14.5" customHeight="1">
      <c r="A32" s="44" t="s">
        <v>86</v>
      </c>
      <c r="B32" s="33"/>
      <c r="C32" s="33"/>
      <c r="D32" s="33"/>
      <c r="F32" s="44" t="s">
        <v>86</v>
      </c>
      <c r="G32" s="33"/>
      <c r="H32" s="33"/>
      <c r="I32" s="33"/>
      <c r="J32" s="33"/>
      <c r="K32" s="33"/>
      <c r="M32" s="44" t="s">
        <v>86</v>
      </c>
      <c r="O32" s="39"/>
      <c r="P32" s="33"/>
    </row>
    <row r="33" spans="5:15">
      <c r="O33" s="45"/>
    </row>
    <row r="34" spans="5:15">
      <c r="O34" s="46"/>
    </row>
    <row r="35" spans="5:15">
      <c r="E35" s="47"/>
    </row>
    <row r="36" spans="5:15">
      <c r="E36" s="47"/>
    </row>
  </sheetData>
  <mergeCells count="32">
    <mergeCell ref="A27:P27"/>
    <mergeCell ref="H15:I15"/>
    <mergeCell ref="B26:C26"/>
    <mergeCell ref="D26:E26"/>
    <mergeCell ref="H26:I26"/>
    <mergeCell ref="F26:G26"/>
    <mergeCell ref="J26:K26"/>
    <mergeCell ref="L26:M26"/>
    <mergeCell ref="D16:E16"/>
    <mergeCell ref="H16:I16"/>
    <mergeCell ref="J16:K16"/>
    <mergeCell ref="J25:K25"/>
    <mergeCell ref="L25:M25"/>
    <mergeCell ref="D25:E25"/>
    <mergeCell ref="A8:P8"/>
    <mergeCell ref="A14:A16"/>
    <mergeCell ref="O14:O16"/>
    <mergeCell ref="H25:I25"/>
    <mergeCell ref="N14:N15"/>
    <mergeCell ref="F15:G15"/>
    <mergeCell ref="J15:K15"/>
    <mergeCell ref="L15:M15"/>
    <mergeCell ref="P14:P16"/>
    <mergeCell ref="H14:M14"/>
    <mergeCell ref="B15:C15"/>
    <mergeCell ref="D15:E15"/>
    <mergeCell ref="B16:C16"/>
    <mergeCell ref="B25:C25"/>
    <mergeCell ref="B14:G14"/>
    <mergeCell ref="L16:M16"/>
    <mergeCell ref="F16:G16"/>
    <mergeCell ref="F25:G25"/>
  </mergeCells>
  <pageMargins left="0.39374999999999999" right="0.43333333333333302" top="0" bottom="0" header="0.511811023622047" footer="0.511811023622047"/>
  <pageSetup paperSize="14" scale="80"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Merilyn Rubin</dc:creator>
  <cp:lastModifiedBy>Aldrin Soriano</cp:lastModifiedBy>
  <cp:revision>0</cp:revision>
  <cp:lastPrinted>2026-07-22T12:03:04Z</cp:lastPrinted>
  <dcterms:created xsi:type="dcterms:W3CDTF">2002-01-01T10:38:35Z</dcterms:created>
  <dcterms:modified xsi:type="dcterms:W3CDTF">2026-09-09T06:40:10Z</dcterms:modified>
  <dc:language>en-US</dc:language>
</cp:coreProperties>
</file>